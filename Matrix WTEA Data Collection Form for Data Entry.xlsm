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184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X56" i="12"/>
  <c r="AY56" i="12"/>
  <c r="AZ56" i="12"/>
  <c r="AW14" i="12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X54" i="12"/>
  <c r="AY54" i="12"/>
  <c r="AZ54" i="12"/>
  <c r="AW55" i="12"/>
  <c r="AX55" i="12"/>
  <c r="AY55" i="12"/>
  <c r="AZ55" i="12"/>
  <c r="AU55" i="12" s="1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14" i="12" l="1"/>
  <c r="AU54" i="12"/>
  <c r="AV55" i="12"/>
  <c r="AV56" i="12"/>
  <c r="AU56" i="12"/>
  <c r="AV54" i="12"/>
  <c r="AU52" i="12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<sst xmlns="http://schemas.openxmlformats.org/spreadsheetml/2006/main" count="1271" uniqueCount="751">
  <si>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</si>
  <si>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</si>
  <si>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</si>
  <si>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</si>
  <si>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</si>
  <si>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</si>
  <si>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</si>
  <si>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</si>
  <si>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</si>
  <si>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</si>
  <si>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</si>
  <si>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</si>
  <si>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</si>
  <si>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</si>
  <si>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</si>
  <si>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</si>
  <si>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</si>
  <si>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</si>
  <si>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</si>
  <si>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</si>
  <si>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</si>
  <si>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</si>
  <si>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</si>
  <si>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</si>
  <si>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</si>
  <si>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</si>
  <si>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</si>
  <si>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</si>
  <si>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</si>
  <si>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</si>
  <si>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</si>
  <si>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</si>
  <si>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</si>
  <si>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</si>
  <si>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</si>
  <si>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</si>
  <si>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</si>
  <si>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</si>
  <si>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</si>
  <si>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</si>
  <si>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</si>
  <si>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</si>
  <si>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</si>
  <si>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</si>
  <si>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</si>
  <si>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</si>
  <si>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</si>
  <si>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</si>
  <si>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</si>
  <si>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</si>
  <si>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</si>
  <si>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</si>
  <si>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</si>
  <si>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</si>
  <si>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</si>
  <si>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</si>
  <si>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</si>
  <si>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</si>
  <si>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</si>
  <si>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</si>
  <si>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</si>
  <si>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</si>
  <si>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</si>
  <si>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</si>
  <si>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</si>
  <si>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</si>
  <si>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</si>
  <si>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</si>
  <si>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</si>
  <si>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</si>
  <si>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</si>
  <si>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</si>
  <si>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</si>
  <si>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</si>
  <si>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</si>
  <si>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</si>
  <si>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</si>
  <si>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</si>
  <si>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</si>
  <si>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</si>
  <si>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</si>
  <si>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</si>
  <si>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</si>
  <si>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</si>
  <si>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</si>
  <si>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</si>
  <si>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</si>
  <si>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</si>
  <si>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</si>
  <si>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</si>
  <si>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</si>
  <si>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</si>
  <si>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</si>
  <si>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</si>
  <si>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</si>
  <si>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</si>
  <si>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</si>
  <si>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</si>
  <si>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</si>
  <si>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</si>
  <si>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</si>
  <si>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</si>
  <si>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</si>
  <si>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</si>
  <si>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</si>
  <si>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</si>
  <si>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</si>
  <si>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</si>
  <si>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</si>
  <si>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</si>
  <si>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</si>
  <si>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</si>
  <si>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</si>
  <si>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</si>
  <si>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</si>
  <si>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</si>
  <si>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</si>
  <si>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</si>
  <si>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</si>
  <si>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</si>
  <si>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</si>
  <si>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</si>
  <si>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</si>
  <si>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</si>
  <si>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</si>
  <si>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</si>
  <si>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</si>
  <si>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</si>
  <si>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</si>
  <si>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</si>
  <si>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</si>
  <si>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</si>
  <si>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</si>
  <si>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</si>
  <si>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</si>
  <si>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</si>
  <si>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</si>
  <si>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</si>
  <si>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</si>
  <si>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</si>
  <si>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</si>
  <si>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</si>
  <si>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</si>
  <si>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</si>
  <si>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</si>
  <si>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</si>
  <si>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</si>
  <si>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</si>
  <si>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</si>
  <si>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</si>
  <si>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</si>
  <si>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</si>
  <si>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</si>
  <si>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</si>
  <si>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</si>
  <si>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</si>
  <si>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</si>
  <si>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</si>
  <si>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</si>
  <si>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</si>
  <si>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</si>
  <si>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</si>
  <si>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</si>
  <si>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</si>
  <si>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</si>
  <si>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</si>
  <si>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</si>
  <si>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</si>
  <si>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</si>
  <si>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</si>
  <si>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</si>
  <si>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</si>
  <si>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</si>
  <si>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</si>
  <si>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</si>
  <si>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</si>
  <si>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</si>
  <si>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</si>
  <si>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</si>
  <si>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</si>
  <si>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</si>
  <si>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</si>
  <si>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</si>
  <si>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</si>
  <si>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</si>
  <si>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</si>
  <si>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</si>
  <si>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</si>
  <si>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</si>
  <si>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</si>
  <si>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</si>
  <si>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</si>
  <si>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</si>
  <si>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</si>
  <si>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</si>
  <si>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</si>
  <si>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</si>
  <si>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</si>
  <si>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</si>
  <si>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</si>
  <si>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</si>
  <si>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</si>
  <si>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</si>
  <si>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</si>
  <si>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</si>
  <si>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</si>
  <si>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</si>
  <si>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</si>
  <si>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</si>
  <si>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</si>
  <si>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</si>
  <si>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</si>
  <si>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</si>
  <si>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</si>
  <si>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</si>
  <si>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</si>
  <si>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</si>
  <si>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</si>
  <si>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</si>
  <si>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</si>
  <si>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</si>
  <si>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</si>
  <si>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</si>
  <si>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</si>
  <si>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</si>
  <si>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</si>
  <si>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</si>
  <si>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</si>
  <si>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</si>
  <si>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</si>
  <si>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</si>
  <si>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</si>
  <si>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</si>
  <si>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</si>
  <si>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</si>
  <si>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</si>
  <si>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</si>
  <si>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</si>
  <si>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</si>
  <si>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</si>
  <si>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</si>
  <si>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</si>
  <si>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</si>
  <si>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</si>
  <si>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</si>
  <si>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</si>
  <si>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</si>
  <si>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</si>
  <si>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</si>
  <si>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</si>
  <si>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</si>
  <si>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</si>
  <si>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</si>
  <si>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</si>
  <si>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</si>
  <si>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</si>
  <si>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</si>
  <si>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</si>
  <si>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</si>
  <si>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</si>
  <si>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</si>
  <si>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</si>
  <si>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</si>
  <si>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</si>
  <si>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</si>
  <si>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</si>
  <si>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</si>
  <si>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</si>
  <si>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</si>
  <si>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</si>
  <si>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</si>
  <si>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</si>
  <si>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</si>
  <si>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</si>
  <si>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</si>
  <si>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</si>
  <si>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</si>
  <si>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</si>
  <si>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</si>
  <si>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</si>
  <si>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</si>
  <si>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</si>
  <si>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</si>
  <si>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</si>
  <si>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</si>
  <si>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</si>
  <si>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</si>
  <si>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</si>
  <si>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</si>
  <si>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</si>
  <si>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</si>
  <si>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</si>
  <si>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</si>
  <si>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</si>
  <si>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</si>
  <si>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</si>
  <si>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</si>
  <si>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</si>
  <si>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</si>
  <si>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</si>
  <si>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</si>
  <si>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</si>
  <si>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</si>
  <si>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</si>
  <si>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</si>
  <si>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</si>
  <si>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</si>
  <si>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</si>
  <si>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</si>
  <si>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</si>
  <si>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</si>
  <si>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</si>
  <si>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</si>
  <si>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</si>
  <si>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</si>
  <si>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</si>
  <si>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</si>
  <si>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</si>
  <si>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</si>
  <si>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</si>
  <si>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</si>
  <si>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</si>
  <si>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</si>
  <si>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</si>
  <si>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</si>
  <si>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</si>
  <si>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</si>
  <si>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</si>
  <si>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</si>
  <si>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</si>
  <si>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</si>
  <si>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</si>
  <si>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</si>
  <si>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</si>
  <si>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</si>
  <si>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</si>
  <si>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</si>
  <si>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</si>
  <si>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</si>
  <si>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</si>
  <si>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</si>
  <si>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</si>
  <si>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</si>
  <si>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</si>
  <si>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</si>
  <si>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</si>
  <si>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</si>
  <si>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</si>
  <si>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</si>
  <si>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</si>
  <si>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</si>
  <si>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</si>
  <si>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</si>
  <si>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</si>
  <si>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</si>
  <si>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</si>
  <si>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</si>
  <si>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</si>
  <si>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</si>
  <si>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</si>
  <si>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</si>
  <si>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</si>
  <si>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</si>
  <si>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</si>
  <si>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</si>
  <si>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</si>
  <si>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</si>
  <si>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</si>
  <si>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</si>
  <si>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</si>
  <si>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</si>
  <si>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</si>
  <si>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</si>
  <si>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</si>
  <si>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</si>
  <si>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</si>
  <si>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</si>
  <si>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</si>
  <si>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</si>
  <si>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</si>
  <si>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</si>
  <si>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</si>
  <si>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</si>
  <si>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</si>
  <si>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</si>
  <si>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</si>
  <si>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</si>
  <si>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</si>
  <si>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</si>
  <si>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</si>
  <si>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</si>
  <si>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</si>
  <si>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</si>
  <si>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</si>
  <si>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</si>
  <si>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</si>
  <si>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</si>
  <si>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</si>
  <si>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</si>
  <si>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</si>
  <si>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</si>
  <si>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</si>
  <si>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</si>
  <si>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</si>
  <si>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</si>
  <si>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</si>
  <si>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</si>
  <si>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</si>
  <si>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</si>
  <si>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</si>
  <si>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</si>
  <si>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</si>
  <si>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</si>
  <si>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</si>
  <si>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</si>
  <si>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</si>
  <si>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</si>
  <si>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</si>
  <si>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</si>
  <si>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</si>
  <si>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</si>
  <si>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</si>
  <si>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</si>
  <si>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</si>
  <si>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</si>
  <si>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</si>
  <si>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</si>
  <si>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</si>
  <si>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</si>
  <si>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</si>
  <si>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</si>
  <si>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</si>
  <si>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</si>
  <si>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</si>
  <si>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</si>
  <si>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</si>
  <si>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</si>
  <si>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</si>
  <si>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</si>
  <si>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</si>
  <si>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</si>
  <si>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</si>
  <si>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</si>
  <si>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</si>
  <si>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</si>
  <si>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</si>
  <si>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</si>
  <si>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</si>
  <si>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</si>
  <si>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</si>
  <si>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</si>
  <si>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</si>
  <si>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</si>
  <si>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</si>
  <si>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</si>
  <si>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</si>
  <si>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</si>
  <si>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</si>
  <si>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</si>
  <si>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</si>
  <si>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</si>
  <si>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</si>
  <si>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</si>
  <si>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</si>
  <si>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</si>
  <si>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</si>
  <si>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</si>
  <si>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</si>
  <si>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</si>
  <si>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</si>
  <si>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</si>
  <si>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</si>
  <si>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</si>
  <si>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</si>
  <si>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</si>
  <si>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</si>
  <si>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</si>
  <si>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</si>
  <si>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</si>
  <si>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</si>
  <si>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</si>
  <si>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</si>
  <si>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</si>
  <si>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</si>
  <si>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</si>
  <si>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</si>
  <si>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</si>
  <si>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</si>
  <si>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</si>
  <si>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</si>
  <si>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</si>
  <si>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</si>
  <si>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</si>
  <si>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</si>
  <si>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</si>
  <si>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</si>
  <si>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</si>
  <si>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</si>
  <si>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</si>
  <si>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</si>
  <si>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</si>
  <si>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</si>
  <si>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</si>
  <si>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</si>
  <si>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</si>
  <si>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</si>
  <si>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</si>
  <si>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</si>
  <si>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</si>
  <si>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</si>
  <si>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</si>
  <si>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</si>
  <si>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</si>
  <si>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</si>
  <si>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</si>
  <si>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</si>
  <si>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</si>
  <si>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</si>
  <si>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</si>
  <si>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</si>
  <si>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</si>
  <si>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</si>
  <si>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</si>
  <si>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</si>
  <si>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</si>
  <si>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</si>
  <si>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</si>
  <si>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</si>
  <si>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</si>
  <si>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</si>
  <si>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</si>
  <si>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</si>
  <si>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</si>
  <si>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</si>
  <si>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</si>
  <si>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</si>
  <si>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</si>
  <si>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</si>
  <si>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</si>
  <si>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</si>
  <si>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</si>
  <si>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</si>
  <si>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</si>
  <si>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</si>
  <si>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</si>
  <si>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</si>
  <si>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</si>
  <si>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</si>
  <si>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</si>
  <si>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</si>
  <si>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</si>
  <si>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</si>
  <si>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</si>
  <si>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</si>
  <si>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</si>
  <si>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</si>
  <si>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</si>
  <si>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</si>
  <si>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</si>
  <si>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</si>
  <si>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</si>
  <si>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</si>
  <si>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</si>
  <si>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</si>
  <si>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</si>
  <si>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</si>
  <si>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</si>
  <si>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</si>
  <si>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</si>
  <si>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</si>
  <si>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</si>
  <si>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</si>
  <si>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</si>
  <si>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</si>
  <si>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</si>
  <si>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</si>
  <si>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</si>
  <si>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</si>
  <si>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</si>
  <si>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</si>
  <si>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</si>
  <si>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</si>
  <si>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</si>
  <si>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</si>
  <si>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</si>
  <si>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</si>
  <si>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</si>
  <si>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</si>
  <si>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</si>
  <si>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</si>
  <si>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</si>
  <si>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</si>
  <si>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</si>
  <si>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</si>
  <si>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</si>
  <si>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</si>
  <si>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</si>
  <si>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</si>
  <si>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</si>
  <si>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</si>
  <si>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</si>
  <si>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</si>
  <si>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</si>
  <si>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</si>
  <si>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</si>
  <si>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</si>
  <si>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</si>
  <si>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</si>
  <si>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</si>
  <si>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</si>
  <si>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</si>
  <si>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</si>
  <si>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</si>
  <si>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</si>
  <si>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</si>
  <si>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</si>
  <si>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</si>
  <si>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</si>
  <si>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</si>
  <si>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</si>
  <si>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</si>
  <si>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</si>
  <si>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</si>
  <si>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</si>
  <si>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</si>
  <si>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</si>
  <si>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</si>
  <si>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</si>
  <si>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</si>
  <si>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</si>
  <si>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</si>
  <si>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</si>
  <si>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</si>
  <si>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</si>
  <si>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</si>
  <si>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</si>
  <si>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</si>
  <si>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</si>
  <si>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</si>
  <si>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</si>
  <si>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</si>
  <si>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</si>
  <si>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</si>
  <si>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</si>
  <si>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</si>
  <si>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</si>
  <si>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</si>
  <si>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</si>
  <si>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</si>
  <si>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</si>
  <si>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</si>
  <si>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</si>
  <si>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</si>
  <si>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</si>
  <si>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</si>
  <si>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</si>
  <si>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</si>
  <si>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</si>
  <si>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</si>
  <si>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</si>
  <si>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</si>
  <si>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</si>
  <si>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</si>
  <si>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</si>
  <si>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</si>
  <si>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</si>
  <si>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</si>
  <si>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</si>
  <si>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</si>
  <si>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</si>
  <si>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</si>
  <si>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</si>
  <si>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</si>
  <si>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</si>
  <si>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</si>
  <si>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</si>
  <si>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</si>
  <si>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</si>
  <si>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</si>
  <si>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</si>
  <si>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</si>
  <si>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</si>
  <si>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</si>
  <si>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</si>
  <si>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</si>
  <si>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</si>
  <si>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</si>
  <si>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</si>
  <si>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</si>
  <si>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</si>
  <si>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</si>
  <si>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</si>
  <si>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</si>
  <si>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</si>
  <si>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</si>
  <si>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</si>
  <si>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</si>
  <si>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</si>
  <si>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</si>
  <si>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</si>
  <si>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</si>
  <si>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</si>
  <si>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</si>
  <si>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</si>
  <si>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</si>
  <si>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</si>
  <si>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</si>
  <si>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</si>
  <si>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</si>
  <si>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</si>
  <si>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</si>
  <si>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</si>
  <si>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</si>
  <si>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</si>
  <si>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</si>
  <si>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</si>
  <si>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</si>
  <si>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</si>
  <si>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</si>
  <si>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</si>
  <si>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</si>
  <si>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</si>
  <si>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</si>
  <si>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</si>
  <si>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</si>
  <si>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</si>
  <si>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</si>
  <si>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</si>
  <si>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</si>
  <si>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</si>
  <si>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</si>
  <si>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</si>
  <si>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</si>
  <si>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</si>
  <si>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</si>
  <si>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</si>
  <si>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</si>
  <si>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</si>
  <si>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</si>
  <si>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</si>
  <si>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</si>
  <si>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</si>
  <si>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</si>
  <si>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</si>
  <si>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</si>
  <si>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</si>
  <si>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</si>
  <si>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</si>
  <si>
    <t>RWT8(3-F028)HBF</t>
  </si>
  <si>
    <t>Sylvania QHE4X32T8/UNV ISN-SC</t>
  </si>
  <si>
    <t>Fluorescent, (3) 48", HPT8 28W lamp, Instant or Program Start Ballast, (&gt;/= 0.95)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</si>
</sst>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43" xfId="0" applyFont="1" applyFill="1" applyBorder="1" applyAlignment="1">
      <alignment horizontal="center" vertical="center" wrapText="1"/>
    </xf>
    <xf numFmtId="0" fontId="37" fillId="7" borderId="4" xfId="0" applyFont="1" applyFill="1" applyBorder="1" applyAlignment="1">
      <alignment horizontal="center" vertical="center" wrapText="1"/>
    </xf>
    <xf numFmtId="0" fontId="61" fillId="0" borderId="4" xfId="0" applyFont="1" applyFill="1" applyBorder="1" applyAlignment="1">
      <alignment horizontal="center" vertical="center"/>
    </xf>
    <xf numFmtId="0" fontId="61" fillId="2" borderId="4" xfId="0" applyFont="1" applyFill="1" applyBorder="1" applyAlignment="1">
      <alignment horizontal="center" vertical="center"/>
    </xf>
    <xf numFmtId="0" fontId="62" fillId="7" borderId="54" xfId="0" applyFont="1" applyFill="1" applyBorder="1" applyAlignment="1">
      <alignment horizontal="center" vertical="center" wrapText="1"/>
    </xf>
    <xf numFmtId="0" fontId="62" fillId="0" borderId="54" xfId="0" applyFont="1" applyFill="1" applyBorder="1" applyAlignment="1">
      <alignment horizontal="center" vertical="center" wrapText="1"/>
    </xf>
    <xf numFmtId="0" fontId="61" fillId="7" borderId="54" xfId="0" applyFont="1" applyFill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7" borderId="55" xfId="0" applyFont="1" applyFill="1" applyBorder="1" applyAlignment="1">
      <alignment horizontal="center" vertical="center"/>
    </xf>
    <xf numFmtId="0" fontId="60" fillId="9" borderId="4" xfId="0" applyNumberFormat="1" applyFont="1" applyFill="1" applyBorder="1" applyAlignment="1">
      <alignment horizontal="center" vertical="center" wrapText="1"/>
    </xf>
    <xf numFmtId="0" fontId="0" fillId="10" borderId="1" xfId="0" applyFont="1" applyFill="1" applyBorder="1"/>
    <xf numFmtId="0" fontId="0" fillId="10" borderId="48" xfId="0" applyFont="1" applyFill="1" applyBorder="1"/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1</xdr:col>
          <xdr:colOff>68580</xdr:colOff>
          <xdr:row>1</xdr:row>
          <xdr:rowOff>198120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68580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730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400" t="s">
        <v>301</v>
      </c>
      <c r="H3" s="401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732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728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729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402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731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403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747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733</v>
      </c>
      <c r="B61" t="s">
        <v>734</v>
      </c>
      <c r="C61" t="s">
        <v>735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1</xdr:col>
                <xdr:colOff>68580</xdr:colOff>
                <xdr:row>1</xdr:row>
                <xdr:rowOff>198120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404" t="s">
        <v>289</v>
      </c>
      <c r="B1" s="404"/>
      <c r="C1" s="404"/>
      <c r="D1" s="405" t="s">
        <v>290</v>
      </c>
      <c r="E1" s="406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736</v>
      </c>
      <c r="E1" s="61" t="s">
        <v>737</v>
      </c>
      <c r="F1" s="61" t="s">
        <v>738</v>
      </c>
      <c r="G1" s="61" t="s">
        <v>739</v>
      </c>
      <c r="H1" s="61" t="s">
        <v>263</v>
      </c>
      <c r="I1" s="61" t="s">
        <v>261</v>
      </c>
      <c r="J1" s="61" t="s">
        <v>271</v>
      </c>
      <c r="K1" s="61" t="s">
        <v>741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7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7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7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7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7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7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7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7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7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8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2</xdr:col>
                <xdr:colOff>68580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>
      <pane ySplit="1" topLeftCell="A2" activePane="bottomLeft" state="frozen"/>
      <selection pane="bottomLeft"/>
    </sheetView>
  </sheetViews>
  <sheetFormatPr defaultRowHeight="16.2" customHeight="1" x14ac:dyDescent="0.3"/>
  <cols>
    <col min="1" max="1" width="7.5546875" customWidth="1"/>
    <col min="2" max="2" width="7.6640625" customWidth="1"/>
    <col min="3" max="3" width="4.664062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3320312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thickBot="1" x14ac:dyDescent="0.35">
      <c r="A1" s="397" t="s">
        <v>265</v>
      </c>
      <c r="B1" s="397" t="s">
        <v>260</v>
      </c>
      <c r="C1" s="397" t="s">
        <v>744</v>
      </c>
      <c r="D1" s="397" t="s">
        <v>307</v>
      </c>
      <c r="E1" s="397" t="s">
        <v>736</v>
      </c>
      <c r="F1" s="397" t="s">
        <v>737</v>
      </c>
      <c r="G1" s="397" t="s">
        <v>738</v>
      </c>
      <c r="H1" s="397" t="s">
        <v>739</v>
      </c>
      <c r="I1" s="397" t="s">
        <v>263</v>
      </c>
      <c r="J1" s="397" t="s">
        <v>743</v>
      </c>
      <c r="K1" s="397" t="s">
        <v>308</v>
      </c>
      <c r="L1" s="397" t="s">
        <v>191</v>
      </c>
      <c r="M1" s="397" t="s">
        <v>745</v>
      </c>
      <c r="N1" s="397" t="s">
        <v>740</v>
      </c>
      <c r="O1" s="397" t="s">
        <v>741</v>
      </c>
      <c r="P1" s="397" t="s">
        <v>272</v>
      </c>
      <c r="Q1" s="397" t="s">
        <v>268</v>
      </c>
      <c r="R1" s="397" t="s">
        <v>746</v>
      </c>
      <c r="S1" s="397" t="s">
        <v>742</v>
      </c>
      <c r="T1" s="39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7">
        <v>1</v>
      </c>
      <c r="B2" s="368"/>
      <c r="C2" s="368"/>
      <c r="D2" s="369"/>
      <c r="E2" s="370"/>
      <c r="F2" s="371"/>
      <c r="G2" s="371"/>
      <c r="H2" s="371"/>
      <c r="I2" s="372"/>
      <c r="J2" s="372"/>
      <c r="K2" s="371"/>
      <c r="L2" s="372"/>
      <c r="M2" s="372" t="str">
        <f>IF(E2="", "", IF('Facility Info'!$H$8="Y", IF(C2="Y", "Natural Gas", "None"), IF(C2="Y", "Heat Pump", "None")))</f>
        <v/>
      </c>
      <c r="N2" s="367"/>
      <c r="O2" s="367"/>
      <c r="P2" s="367"/>
      <c r="Q2" s="367"/>
      <c r="R2" s="372"/>
      <c r="S2" s="372"/>
      <c r="T2" s="373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4">
        <v>2</v>
      </c>
      <c r="B3" s="375"/>
      <c r="C3" s="375"/>
      <c r="D3" s="376"/>
      <c r="E3" s="377"/>
      <c r="F3" s="378"/>
      <c r="G3" s="378"/>
      <c r="H3" s="378"/>
      <c r="I3" s="377"/>
      <c r="J3" s="377"/>
      <c r="K3" s="378"/>
      <c r="L3" s="377"/>
      <c r="M3" s="377" t="str">
        <f>IF(E3="", "", IF('Facility Info'!$H$8="Y", IF(C3="Y", "Natural Gas", "None"), IF(C3="Y", "Heat Pump", "None")))</f>
        <v/>
      </c>
      <c r="N3" s="374"/>
      <c r="O3" s="374"/>
      <c r="P3" s="374"/>
      <c r="Q3" s="374"/>
      <c r="R3" s="377"/>
      <c r="S3" s="377"/>
      <c r="T3" s="379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4">
        <v>3</v>
      </c>
      <c r="B4" s="368"/>
      <c r="C4" s="368"/>
      <c r="D4" s="369"/>
      <c r="E4" s="370"/>
      <c r="F4" s="371"/>
      <c r="G4" s="371"/>
      <c r="H4" s="371"/>
      <c r="I4" s="372"/>
      <c r="J4" s="377"/>
      <c r="K4" s="378"/>
      <c r="L4" s="372"/>
      <c r="M4" s="377" t="str">
        <f>IF(E4="", "", IF('Facility Info'!$H$8="Y", IF(C4="Y", "Natural Gas", "None"), IF(C4="Y", "Heat Pump", "None")))</f>
        <v/>
      </c>
      <c r="N4" s="374"/>
      <c r="O4" s="374"/>
      <c r="P4" s="374"/>
      <c r="Q4" s="374"/>
      <c r="R4" s="372"/>
      <c r="S4" s="372"/>
      <c r="T4" s="379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4">
        <v>4</v>
      </c>
      <c r="B5" s="375"/>
      <c r="C5" s="375"/>
      <c r="D5" s="376"/>
      <c r="E5" s="377"/>
      <c r="F5" s="378"/>
      <c r="G5" s="378"/>
      <c r="H5" s="378"/>
      <c r="I5" s="377"/>
      <c r="J5" s="377"/>
      <c r="K5" s="378"/>
      <c r="L5" s="377"/>
      <c r="M5" s="377" t="str">
        <f>IF(E5="", "", IF('Facility Info'!$H$8="Y", IF(C5="Y", "Natural Gas", "None"), IF(C5="Y", "Heat Pump", "None")))</f>
        <v/>
      </c>
      <c r="N5" s="374"/>
      <c r="O5" s="374"/>
      <c r="P5" s="374"/>
      <c r="Q5" s="374"/>
      <c r="R5" s="377"/>
      <c r="S5" s="377"/>
      <c r="T5" s="379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4">
        <v>5</v>
      </c>
      <c r="B6" s="368"/>
      <c r="C6" s="368"/>
      <c r="D6" s="369"/>
      <c r="E6" s="370"/>
      <c r="F6" s="371"/>
      <c r="G6" s="371"/>
      <c r="H6" s="371"/>
      <c r="I6" s="372"/>
      <c r="J6" s="377"/>
      <c r="K6" s="378"/>
      <c r="L6" s="372"/>
      <c r="M6" s="377" t="str">
        <f>IF(E6="", "", IF('Facility Info'!$H$8="Y", IF(C6="Y", "Natural Gas", "None"), IF(C6="Y", "Heat Pump", "None")))</f>
        <v/>
      </c>
      <c r="N6" s="374"/>
      <c r="O6" s="374"/>
      <c r="P6" s="374"/>
      <c r="Q6" s="374"/>
      <c r="R6" s="372"/>
      <c r="S6" s="372"/>
      <c r="T6" s="379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4">
        <v>6</v>
      </c>
      <c r="B7" s="375"/>
      <c r="C7" s="375"/>
      <c r="D7" s="376"/>
      <c r="E7" s="377"/>
      <c r="F7" s="378"/>
      <c r="G7" s="378"/>
      <c r="H7" s="378"/>
      <c r="I7" s="377"/>
      <c r="J7" s="377"/>
      <c r="K7" s="378"/>
      <c r="L7" s="377"/>
      <c r="M7" s="377" t="str">
        <f>IF(E7="", "", IF('Facility Info'!$H$8="Y", IF(C7="Y", "Natural Gas", "None"), IF(C7="Y", "Heat Pump", "None")))</f>
        <v/>
      </c>
      <c r="N7" s="374"/>
      <c r="O7" s="374"/>
      <c r="P7" s="374"/>
      <c r="Q7" s="374"/>
      <c r="R7" s="377"/>
      <c r="S7" s="377"/>
      <c r="T7" s="379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4">
        <v>7</v>
      </c>
      <c r="B8" s="368"/>
      <c r="C8" s="368"/>
      <c r="D8" s="369"/>
      <c r="E8" s="370"/>
      <c r="F8" s="371"/>
      <c r="G8" s="371"/>
      <c r="H8" s="371"/>
      <c r="I8" s="372"/>
      <c r="J8" s="377"/>
      <c r="K8" s="378"/>
      <c r="L8" s="372"/>
      <c r="M8" s="377" t="str">
        <f>IF(E8="", "", IF('Facility Info'!$H$8="Y", IF(C8="Y", "Natural Gas", "None"), IF(C8="Y", "Heat Pump", "None")))</f>
        <v/>
      </c>
      <c r="N8" s="374"/>
      <c r="O8" s="374"/>
      <c r="P8" s="374"/>
      <c r="Q8" s="374"/>
      <c r="R8" s="372"/>
      <c r="S8" s="372"/>
      <c r="T8" s="379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4">
        <v>8</v>
      </c>
      <c r="B9" s="375"/>
      <c r="C9" s="375"/>
      <c r="D9" s="376"/>
      <c r="E9" s="377"/>
      <c r="F9" s="378"/>
      <c r="G9" s="378"/>
      <c r="H9" s="378"/>
      <c r="I9" s="377"/>
      <c r="J9" s="377"/>
      <c r="K9" s="378"/>
      <c r="L9" s="377"/>
      <c r="M9" s="377" t="str">
        <f>IF(E9="", "", IF('Facility Info'!$H$8="Y", IF(C9="Y", "Natural Gas", "None"), IF(C9="Y", "Heat Pump", "None")))</f>
        <v/>
      </c>
      <c r="N9" s="374"/>
      <c r="O9" s="374"/>
      <c r="P9" s="374"/>
      <c r="Q9" s="374"/>
      <c r="R9" s="377"/>
      <c r="S9" s="377"/>
      <c r="T9" s="379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4">
        <v>9</v>
      </c>
      <c r="B10" s="368"/>
      <c r="C10" s="368"/>
      <c r="D10" s="369"/>
      <c r="E10" s="370"/>
      <c r="F10" s="371"/>
      <c r="G10" s="371"/>
      <c r="H10" s="371"/>
      <c r="I10" s="372"/>
      <c r="J10" s="377"/>
      <c r="K10" s="378"/>
      <c r="L10" s="372"/>
      <c r="M10" s="377" t="str">
        <f>IF(E10="", "", IF('Facility Info'!$H$8="Y", IF(C10="Y", "Natural Gas", "None"), IF(C10="Y", "Heat Pump", "None")))</f>
        <v/>
      </c>
      <c r="N10" s="374"/>
      <c r="O10" s="374"/>
      <c r="P10" s="374"/>
      <c r="Q10" s="374"/>
      <c r="R10" s="372"/>
      <c r="S10" s="372"/>
      <c r="T10" s="379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4">
        <v>10</v>
      </c>
      <c r="B11" s="375"/>
      <c r="C11" s="375"/>
      <c r="D11" s="376"/>
      <c r="E11" s="377"/>
      <c r="F11" s="378"/>
      <c r="G11" s="378"/>
      <c r="H11" s="378"/>
      <c r="I11" s="377"/>
      <c r="J11" s="377"/>
      <c r="K11" s="378"/>
      <c r="L11" s="377"/>
      <c r="M11" s="377" t="str">
        <f>IF(E11="", "", IF('Facility Info'!$H$8="Y", IF(C11="Y", "Natural Gas", "None"), IF(C11="Y", "Heat Pump", "None")))</f>
        <v/>
      </c>
      <c r="N11" s="374"/>
      <c r="O11" s="374"/>
      <c r="P11" s="374"/>
      <c r="Q11" s="374"/>
      <c r="R11" s="377"/>
      <c r="S11" s="377"/>
      <c r="T11" s="379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4">
        <v>11</v>
      </c>
      <c r="B12" s="368"/>
      <c r="C12" s="368"/>
      <c r="D12" s="369"/>
      <c r="E12" s="370"/>
      <c r="F12" s="371"/>
      <c r="G12" s="371"/>
      <c r="H12" s="371"/>
      <c r="I12" s="372"/>
      <c r="J12" s="377"/>
      <c r="K12" s="378"/>
      <c r="L12" s="372"/>
      <c r="M12" s="377" t="str">
        <f>IF(E12="", "", IF('Facility Info'!$H$8="Y", IF(C12="Y", "Natural Gas", "None"), IF(C12="Y", "Heat Pump", "None")))</f>
        <v/>
      </c>
      <c r="N12" s="374"/>
      <c r="O12" s="374"/>
      <c r="P12" s="374"/>
      <c r="Q12" s="374"/>
      <c r="R12" s="372"/>
      <c r="S12" s="372"/>
      <c r="T12" s="379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4">
        <v>12</v>
      </c>
      <c r="B13" s="375"/>
      <c r="C13" s="375"/>
      <c r="D13" s="376"/>
      <c r="E13" s="377"/>
      <c r="F13" s="378"/>
      <c r="G13" s="378"/>
      <c r="H13" s="378"/>
      <c r="I13" s="377"/>
      <c r="J13" s="377"/>
      <c r="K13" s="378"/>
      <c r="L13" s="377"/>
      <c r="M13" s="377" t="str">
        <f>IF(E13="", "", IF('Facility Info'!$H$8="Y", IF(C13="Y", "Natural Gas", "None"), IF(C13="Y", "Heat Pump", "None")))</f>
        <v/>
      </c>
      <c r="N13" s="374"/>
      <c r="O13" s="374"/>
      <c r="P13" s="374"/>
      <c r="Q13" s="374"/>
      <c r="R13" s="377"/>
      <c r="S13" s="377"/>
      <c r="T13" s="379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thickBot="1" x14ac:dyDescent="0.35">
      <c r="A14" s="387">
        <v>13</v>
      </c>
      <c r="B14" s="380"/>
      <c r="C14" s="380"/>
      <c r="D14" s="386"/>
      <c r="E14" s="389"/>
      <c r="F14" s="390"/>
      <c r="G14" s="390"/>
      <c r="H14" s="390"/>
      <c r="I14" s="381"/>
      <c r="J14" s="381"/>
      <c r="K14" s="390"/>
      <c r="L14" s="381"/>
      <c r="M14" s="381" t="str">
        <f>IF(E14="", "", IF('Facility Info'!$H$8="Y", IF(C14="Y", "Natural Gas", "None"), IF(C14="Y", "Heat Pump", "None")))</f>
        <v/>
      </c>
      <c r="N14" s="387"/>
      <c r="O14" s="387"/>
      <c r="P14" s="387"/>
      <c r="Q14" s="387" t="s">
        <v>643</v>
      </c>
      <c r="R14" s="381"/>
      <c r="S14" s="381"/>
      <c r="T14" s="391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hidden="1" customHeight="1" x14ac:dyDescent="0.3">
      <c r="A15" s="367">
        <v>14</v>
      </c>
      <c r="B15" s="368"/>
      <c r="C15" s="368"/>
      <c r="D15" s="369"/>
      <c r="E15" s="372"/>
      <c r="F15" s="371"/>
      <c r="G15" s="371"/>
      <c r="H15" s="371"/>
      <c r="I15" s="372"/>
      <c r="J15" s="372"/>
      <c r="K15" s="371"/>
      <c r="L15" s="372"/>
      <c r="M15" s="372" t="str">
        <f>IF(E15="", "", IF('Facility Info'!$H$8="Y", IF(C15="Y", "Natural Gas", "None"), IF(C15="Y", "Heat Pump", "None")))</f>
        <v/>
      </c>
      <c r="N15" s="367"/>
      <c r="O15" s="367"/>
      <c r="P15" s="367"/>
      <c r="Q15" s="367"/>
      <c r="R15" s="372"/>
      <c r="S15" s="372"/>
      <c r="T15" s="373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hidden="1" customHeight="1" x14ac:dyDescent="0.3">
      <c r="A16" s="374">
        <v>15</v>
      </c>
      <c r="B16" s="368"/>
      <c r="C16" s="368"/>
      <c r="D16" s="369"/>
      <c r="E16" s="370"/>
      <c r="F16" s="371"/>
      <c r="G16" s="371"/>
      <c r="H16" s="371"/>
      <c r="I16" s="372"/>
      <c r="J16" s="377"/>
      <c r="K16" s="371"/>
      <c r="L16" s="372"/>
      <c r="M16" s="377" t="str">
        <f>IF(E16="", "", IF('Facility Info'!$H$8="Y", IF(C16="Y", "Natural Gas", "None"), IF(C16="Y", "Heat Pump", "None")))</f>
        <v/>
      </c>
      <c r="N16" s="367"/>
      <c r="O16" s="367"/>
      <c r="P16" s="367"/>
      <c r="Q16" s="367"/>
      <c r="R16" s="372"/>
      <c r="S16" s="372"/>
      <c r="T16" s="379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hidden="1" customHeight="1" x14ac:dyDescent="0.3">
      <c r="A17" s="374">
        <v>16</v>
      </c>
      <c r="B17" s="375"/>
      <c r="C17" s="375"/>
      <c r="D17" s="376"/>
      <c r="E17" s="377"/>
      <c r="F17" s="378"/>
      <c r="G17" s="378"/>
      <c r="H17" s="378"/>
      <c r="I17" s="377"/>
      <c r="J17" s="377"/>
      <c r="K17" s="371"/>
      <c r="L17" s="377"/>
      <c r="M17" s="377" t="str">
        <f>IF(E17="", "", IF('Facility Info'!$H$8="Y", IF(C17="Y", "Natural Gas", "None"), IF(C17="Y", "Heat Pump", "None")))</f>
        <v/>
      </c>
      <c r="N17" s="367"/>
      <c r="O17" s="367"/>
      <c r="P17" s="367"/>
      <c r="Q17" s="367"/>
      <c r="R17" s="377"/>
      <c r="S17" s="377"/>
      <c r="T17" s="379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hidden="1" customHeight="1" x14ac:dyDescent="0.3">
      <c r="A18" s="374">
        <v>17</v>
      </c>
      <c r="B18" s="368"/>
      <c r="C18" s="368"/>
      <c r="D18" s="369"/>
      <c r="E18" s="370"/>
      <c r="F18" s="371"/>
      <c r="G18" s="371"/>
      <c r="H18" s="371"/>
      <c r="I18" s="372"/>
      <c r="J18" s="377"/>
      <c r="K18" s="371"/>
      <c r="L18" s="372"/>
      <c r="M18" s="377" t="str">
        <f>IF(E18="", "", IF('Facility Info'!$H$8="Y", IF(C18="Y", "Natural Gas", "None"), IF(C18="Y", "Heat Pump", "None")))</f>
        <v/>
      </c>
      <c r="N18" s="367"/>
      <c r="O18" s="367"/>
      <c r="P18" s="367"/>
      <c r="Q18" s="367"/>
      <c r="R18" s="372"/>
      <c r="S18" s="372"/>
      <c r="T18" s="379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hidden="1" customHeight="1" x14ac:dyDescent="0.3">
      <c r="A19" s="374">
        <v>18</v>
      </c>
      <c r="B19" s="375"/>
      <c r="C19" s="375"/>
      <c r="D19" s="376"/>
      <c r="E19" s="377"/>
      <c r="F19" s="378"/>
      <c r="G19" s="378"/>
      <c r="H19" s="378"/>
      <c r="I19" s="377"/>
      <c r="J19" s="377"/>
      <c r="K19" s="371"/>
      <c r="L19" s="377"/>
      <c r="M19" s="377" t="str">
        <f>IF(E19="", "", IF('Facility Info'!$H$8="Y", IF(C19="Y", "Natural Gas", "None"), IF(C19="Y", "Heat Pump", "None")))</f>
        <v/>
      </c>
      <c r="N19" s="367"/>
      <c r="O19" s="367"/>
      <c r="P19" s="367"/>
      <c r="Q19" s="367"/>
      <c r="R19" s="377"/>
      <c r="S19" s="377"/>
      <c r="T19" s="379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hidden="1" customHeight="1" x14ac:dyDescent="0.3">
      <c r="A20" s="374">
        <v>19</v>
      </c>
      <c r="B20" s="368"/>
      <c r="C20" s="368"/>
      <c r="D20" s="369"/>
      <c r="E20" s="370"/>
      <c r="F20" s="371"/>
      <c r="G20" s="371"/>
      <c r="H20" s="371"/>
      <c r="I20" s="372"/>
      <c r="J20" s="377"/>
      <c r="K20" s="371"/>
      <c r="L20" s="372"/>
      <c r="M20" s="377" t="str">
        <f>IF(E20="", "", IF('Facility Info'!$H$8="Y", IF(C20="Y", "Natural Gas", "None"), IF(C20="Y", "Heat Pump", "None")))</f>
        <v/>
      </c>
      <c r="N20" s="367"/>
      <c r="O20" s="367"/>
      <c r="P20" s="367"/>
      <c r="Q20" s="367"/>
      <c r="R20" s="372"/>
      <c r="S20" s="372"/>
      <c r="T20" s="379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hidden="1" customHeight="1" x14ac:dyDescent="0.3">
      <c r="A21" s="374">
        <v>20</v>
      </c>
      <c r="B21" s="375"/>
      <c r="C21" s="375"/>
      <c r="D21" s="376"/>
      <c r="E21" s="377"/>
      <c r="F21" s="378"/>
      <c r="G21" s="378"/>
      <c r="H21" s="378"/>
      <c r="I21" s="377"/>
      <c r="J21" s="377"/>
      <c r="K21" s="371"/>
      <c r="L21" s="377"/>
      <c r="M21" s="377" t="str">
        <f>IF(E21="", "", IF('Facility Info'!$H$8="Y", IF(C21="Y", "Natural Gas", "None"), IF(C21="Y", "Heat Pump", "None")))</f>
        <v/>
      </c>
      <c r="N21" s="367"/>
      <c r="O21" s="367"/>
      <c r="P21" s="367"/>
      <c r="Q21" s="367"/>
      <c r="R21" s="377"/>
      <c r="S21" s="377"/>
      <c r="T21" s="379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hidden="1" customHeight="1" x14ac:dyDescent="0.3">
      <c r="A22" s="374">
        <v>21</v>
      </c>
      <c r="B22" s="368"/>
      <c r="C22" s="368"/>
      <c r="D22" s="369"/>
      <c r="E22" s="370"/>
      <c r="F22" s="371"/>
      <c r="G22" s="371"/>
      <c r="H22" s="371"/>
      <c r="I22" s="372"/>
      <c r="J22" s="377"/>
      <c r="K22" s="371"/>
      <c r="L22" s="372"/>
      <c r="M22" s="377" t="str">
        <f>IF(E22="", "", IF('Facility Info'!$H$8="Y", IF(C22="Y", "Natural Gas", "None"), IF(C22="Y", "Heat Pump", "None")))</f>
        <v/>
      </c>
      <c r="N22" s="367"/>
      <c r="O22" s="367"/>
      <c r="P22" s="367"/>
      <c r="Q22" s="367"/>
      <c r="R22" s="372"/>
      <c r="S22" s="372"/>
      <c r="T22" s="379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hidden="1" customHeight="1" x14ac:dyDescent="0.3">
      <c r="A23" s="374">
        <v>22</v>
      </c>
      <c r="B23" s="375"/>
      <c r="C23" s="375"/>
      <c r="D23" s="376"/>
      <c r="E23" s="377"/>
      <c r="F23" s="378"/>
      <c r="G23" s="378"/>
      <c r="H23" s="378"/>
      <c r="I23" s="377"/>
      <c r="J23" s="377"/>
      <c r="K23" s="371"/>
      <c r="L23" s="377"/>
      <c r="M23" s="377" t="str">
        <f>IF(E23="", "", IF('Facility Info'!$H$8="Y", IF(C23="Y", "Natural Gas", "None"), IF(C23="Y", "Heat Pump", "None")))</f>
        <v/>
      </c>
      <c r="N23" s="367"/>
      <c r="O23" s="367"/>
      <c r="P23" s="367"/>
      <c r="Q23" s="367"/>
      <c r="R23" s="377"/>
      <c r="S23" s="377"/>
      <c r="T23" s="379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hidden="1" customHeight="1" x14ac:dyDescent="0.3">
      <c r="A24" s="374">
        <v>23</v>
      </c>
      <c r="B24" s="368"/>
      <c r="C24" s="368"/>
      <c r="D24" s="369"/>
      <c r="E24" s="370"/>
      <c r="F24" s="371"/>
      <c r="G24" s="371"/>
      <c r="H24" s="371"/>
      <c r="I24" s="372"/>
      <c r="J24" s="377"/>
      <c r="K24" s="371"/>
      <c r="L24" s="372"/>
      <c r="M24" s="377" t="str">
        <f>IF(E24="", "", IF('Facility Info'!$H$8="Y", IF(C24="Y", "Natural Gas", "None"), IF(C24="Y", "Heat Pump", "None")))</f>
        <v/>
      </c>
      <c r="N24" s="367"/>
      <c r="O24" s="367"/>
      <c r="P24" s="367"/>
      <c r="Q24" s="367"/>
      <c r="R24" s="372"/>
      <c r="S24" s="372"/>
      <c r="T24" s="379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hidden="1" customHeight="1" x14ac:dyDescent="0.3">
      <c r="A25" s="374">
        <v>24</v>
      </c>
      <c r="B25" s="375"/>
      <c r="C25" s="375"/>
      <c r="D25" s="376"/>
      <c r="E25" s="377"/>
      <c r="F25" s="378"/>
      <c r="G25" s="378"/>
      <c r="H25" s="378"/>
      <c r="I25" s="377"/>
      <c r="J25" s="377"/>
      <c r="K25" s="371"/>
      <c r="L25" s="377"/>
      <c r="M25" s="377" t="str">
        <f>IF(E25="", "", IF('Facility Info'!$H$8="Y", IF(C25="Y", "Natural Gas", "None"), IF(C25="Y", "Heat Pump", "None")))</f>
        <v/>
      </c>
      <c r="N25" s="367"/>
      <c r="O25" s="367"/>
      <c r="P25" s="367"/>
      <c r="Q25" s="367"/>
      <c r="R25" s="377"/>
      <c r="S25" s="377"/>
      <c r="T25" s="379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hidden="1" customHeight="1" x14ac:dyDescent="0.3">
      <c r="A26" s="374">
        <v>25</v>
      </c>
      <c r="B26" s="368"/>
      <c r="C26" s="368"/>
      <c r="D26" s="369"/>
      <c r="E26" s="370"/>
      <c r="F26" s="371"/>
      <c r="G26" s="371"/>
      <c r="H26" s="371"/>
      <c r="I26" s="372"/>
      <c r="J26" s="377"/>
      <c r="K26" s="371"/>
      <c r="L26" s="372"/>
      <c r="M26" s="377" t="str">
        <f>IF(E26="", "", IF('Facility Info'!$H$8="Y", IF(C26="Y", "Natural Gas", "None"), IF(C26="Y", "Heat Pump", "None")))</f>
        <v/>
      </c>
      <c r="N26" s="367"/>
      <c r="O26" s="367"/>
      <c r="P26" s="367"/>
      <c r="Q26" s="367"/>
      <c r="R26" s="372"/>
      <c r="S26" s="372"/>
      <c r="T26" s="379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hidden="1" customHeight="1" x14ac:dyDescent="0.3">
      <c r="A27" s="374">
        <v>26</v>
      </c>
      <c r="B27" s="375"/>
      <c r="C27" s="375"/>
      <c r="D27" s="376"/>
      <c r="E27" s="377"/>
      <c r="F27" s="378"/>
      <c r="G27" s="378"/>
      <c r="H27" s="378"/>
      <c r="I27" s="377"/>
      <c r="J27" s="377"/>
      <c r="K27" s="371"/>
      <c r="L27" s="377"/>
      <c r="M27" s="377" t="str">
        <f>IF(E27="", "", IF('Facility Info'!$H$8="Y", IF(C27="Y", "Natural Gas", "None"), IF(C27="Y", "Heat Pump", "None")))</f>
        <v/>
      </c>
      <c r="N27" s="367"/>
      <c r="O27" s="367"/>
      <c r="P27" s="367"/>
      <c r="Q27" s="367"/>
      <c r="R27" s="377"/>
      <c r="S27" s="377"/>
      <c r="T27" s="379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hidden="1" customHeight="1" x14ac:dyDescent="0.3">
      <c r="A28" s="374">
        <v>27</v>
      </c>
      <c r="B28" s="368"/>
      <c r="C28" s="368"/>
      <c r="D28" s="369"/>
      <c r="E28" s="370"/>
      <c r="F28" s="371"/>
      <c r="G28" s="371"/>
      <c r="H28" s="371"/>
      <c r="I28" s="372"/>
      <c r="J28" s="377"/>
      <c r="K28" s="371"/>
      <c r="L28" s="372"/>
      <c r="M28" s="377" t="str">
        <f>IF(E28="", "", IF('Facility Info'!$H$8="Y", IF(C28="Y", "Natural Gas", "None"), IF(C28="Y", "Heat Pump", "None")))</f>
        <v/>
      </c>
      <c r="N28" s="367"/>
      <c r="O28" s="367"/>
      <c r="P28" s="367"/>
      <c r="Q28" s="367"/>
      <c r="R28" s="372"/>
      <c r="S28" s="372"/>
      <c r="T28" s="379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hidden="1" customHeight="1" x14ac:dyDescent="0.3">
      <c r="A29" s="374">
        <v>28</v>
      </c>
      <c r="B29" s="375"/>
      <c r="C29" s="375"/>
      <c r="D29" s="376"/>
      <c r="E29" s="377"/>
      <c r="F29" s="378"/>
      <c r="G29" s="378"/>
      <c r="H29" s="378"/>
      <c r="I29" s="377"/>
      <c r="J29" s="377"/>
      <c r="K29" s="371"/>
      <c r="L29" s="377"/>
      <c r="M29" s="377" t="str">
        <f>IF(E29="", "", IF('Facility Info'!$H$8="Y", IF(C29="Y", "Natural Gas", "None"), IF(C29="Y", "Heat Pump", "None")))</f>
        <v/>
      </c>
      <c r="N29" s="367"/>
      <c r="O29" s="367"/>
      <c r="P29" s="367"/>
      <c r="Q29" s="367"/>
      <c r="R29" s="377"/>
      <c r="S29" s="377"/>
      <c r="T29" s="379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hidden="1" customHeight="1" x14ac:dyDescent="0.3">
      <c r="A30" s="374">
        <v>29</v>
      </c>
      <c r="B30" s="368"/>
      <c r="C30" s="368"/>
      <c r="D30" s="369"/>
      <c r="E30" s="370"/>
      <c r="F30" s="371"/>
      <c r="G30" s="371"/>
      <c r="H30" s="371"/>
      <c r="I30" s="372"/>
      <c r="J30" s="377"/>
      <c r="K30" s="371"/>
      <c r="L30" s="372"/>
      <c r="M30" s="377" t="str">
        <f>IF(E30="", "", IF('Facility Info'!$H$8="Y", IF(C30="Y", "Natural Gas", "None"), IF(C30="Y", "Heat Pump", "None")))</f>
        <v/>
      </c>
      <c r="N30" s="367"/>
      <c r="O30" s="367"/>
      <c r="P30" s="367"/>
      <c r="Q30" s="367"/>
      <c r="R30" s="372"/>
      <c r="S30" s="372"/>
      <c r="T30" s="379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hidden="1" customHeight="1" x14ac:dyDescent="0.3">
      <c r="A31" s="374">
        <v>30</v>
      </c>
      <c r="B31" s="375"/>
      <c r="C31" s="375"/>
      <c r="D31" s="376"/>
      <c r="E31" s="377"/>
      <c r="F31" s="378"/>
      <c r="G31" s="378"/>
      <c r="H31" s="378"/>
      <c r="I31" s="377"/>
      <c r="J31" s="377"/>
      <c r="K31" s="371"/>
      <c r="L31" s="377"/>
      <c r="M31" s="377" t="str">
        <f>IF(E31="", "", IF('Facility Info'!$H$8="Y", IF(C31="Y", "Natural Gas", "None"), IF(C31="Y", "Heat Pump", "None")))</f>
        <v/>
      </c>
      <c r="N31" s="367"/>
      <c r="O31" s="367"/>
      <c r="P31" s="367"/>
      <c r="Q31" s="367"/>
      <c r="R31" s="377"/>
      <c r="S31" s="377"/>
      <c r="T31" s="379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hidden="1" customHeight="1" x14ac:dyDescent="0.3">
      <c r="A32" s="374">
        <v>31</v>
      </c>
      <c r="B32" s="368"/>
      <c r="C32" s="368"/>
      <c r="D32" s="369"/>
      <c r="E32" s="370"/>
      <c r="F32" s="371"/>
      <c r="G32" s="371"/>
      <c r="H32" s="371"/>
      <c r="I32" s="372"/>
      <c r="J32" s="377"/>
      <c r="K32" s="371"/>
      <c r="L32" s="372"/>
      <c r="M32" s="377" t="str">
        <f>IF(E32="", "", IF('Facility Info'!$H$8="Y", IF(C32="Y", "Natural Gas", "None"), IF(C32="Y", "Heat Pump", "None")))</f>
        <v/>
      </c>
      <c r="N32" s="367"/>
      <c r="O32" s="367"/>
      <c r="P32" s="367"/>
      <c r="Q32" s="367"/>
      <c r="R32" s="372"/>
      <c r="S32" s="372"/>
      <c r="T32" s="379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hidden="1" customHeight="1" x14ac:dyDescent="0.3">
      <c r="A33" s="374">
        <v>32</v>
      </c>
      <c r="B33" s="375"/>
      <c r="C33" s="375"/>
      <c r="D33" s="376"/>
      <c r="E33" s="377"/>
      <c r="F33" s="378"/>
      <c r="G33" s="378"/>
      <c r="H33" s="378"/>
      <c r="I33" s="377"/>
      <c r="J33" s="377"/>
      <c r="K33" s="371"/>
      <c r="L33" s="377"/>
      <c r="M33" s="377" t="str">
        <f>IF(E33="", "", IF('Facility Info'!$H$8="Y", IF(C33="Y", "Natural Gas", "None"), IF(C33="Y", "Heat Pump", "None")))</f>
        <v/>
      </c>
      <c r="N33" s="367"/>
      <c r="O33" s="367"/>
      <c r="P33" s="367"/>
      <c r="Q33" s="367"/>
      <c r="R33" s="377"/>
      <c r="S33" s="377"/>
      <c r="T33" s="379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hidden="1" customHeight="1" x14ac:dyDescent="0.3">
      <c r="A34" s="374">
        <v>33</v>
      </c>
      <c r="B34" s="368"/>
      <c r="C34" s="368"/>
      <c r="D34" s="369"/>
      <c r="E34" s="370"/>
      <c r="F34" s="371"/>
      <c r="G34" s="371"/>
      <c r="H34" s="371"/>
      <c r="I34" s="372"/>
      <c r="J34" s="377"/>
      <c r="K34" s="371"/>
      <c r="L34" s="372"/>
      <c r="M34" s="377" t="str">
        <f>IF(E34="", "", IF('Facility Info'!$H$8="Y", IF(C34="Y", "Natural Gas", "None"), IF(C34="Y", "Heat Pump", "None")))</f>
        <v/>
      </c>
      <c r="N34" s="367"/>
      <c r="O34" s="367"/>
      <c r="P34" s="367"/>
      <c r="Q34" s="367"/>
      <c r="R34" s="372"/>
      <c r="S34" s="372"/>
      <c r="T34" s="379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hidden="1" customHeight="1" x14ac:dyDescent="0.3">
      <c r="A35" s="374">
        <v>34</v>
      </c>
      <c r="B35" s="375"/>
      <c r="C35" s="375"/>
      <c r="D35" s="376"/>
      <c r="E35" s="377"/>
      <c r="F35" s="378"/>
      <c r="G35" s="378"/>
      <c r="H35" s="378"/>
      <c r="I35" s="377"/>
      <c r="J35" s="377"/>
      <c r="K35" s="371"/>
      <c r="L35" s="377"/>
      <c r="M35" s="377" t="str">
        <f>IF(E35="", "", IF('Facility Info'!$H$8="Y", IF(C35="Y", "Natural Gas", "None"), IF(C35="Y", "Heat Pump", "None")))</f>
        <v/>
      </c>
      <c r="N35" s="367"/>
      <c r="O35" s="367"/>
      <c r="P35" s="367"/>
      <c r="Q35" s="367"/>
      <c r="R35" s="377"/>
      <c r="S35" s="377"/>
      <c r="T35" s="379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hidden="1" customHeight="1" x14ac:dyDescent="0.3">
      <c r="A36" s="374">
        <v>35</v>
      </c>
      <c r="B36" s="368"/>
      <c r="C36" s="368"/>
      <c r="D36" s="369"/>
      <c r="E36" s="370"/>
      <c r="F36" s="371"/>
      <c r="G36" s="371"/>
      <c r="H36" s="371"/>
      <c r="I36" s="372"/>
      <c r="J36" s="377"/>
      <c r="K36" s="371"/>
      <c r="L36" s="372"/>
      <c r="M36" s="377" t="str">
        <f>IF(E36="", "", IF('Facility Info'!$H$8="Y", IF(C36="Y", "Natural Gas", "None"), IF(C36="Y", "Heat Pump", "None")))</f>
        <v/>
      </c>
      <c r="N36" s="367"/>
      <c r="O36" s="367"/>
      <c r="P36" s="367"/>
      <c r="Q36" s="367"/>
      <c r="R36" s="372"/>
      <c r="S36" s="372"/>
      <c r="T36" s="379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hidden="1" customHeight="1" x14ac:dyDescent="0.3">
      <c r="A37" s="374">
        <v>36</v>
      </c>
      <c r="B37" s="375"/>
      <c r="C37" s="375"/>
      <c r="D37" s="376"/>
      <c r="E37" s="377"/>
      <c r="F37" s="378"/>
      <c r="G37" s="378"/>
      <c r="H37" s="378"/>
      <c r="I37" s="377"/>
      <c r="J37" s="377"/>
      <c r="K37" s="371"/>
      <c r="L37" s="377"/>
      <c r="M37" s="377" t="str">
        <f>IF(E37="", "", IF('Facility Info'!$H$8="Y", IF(C37="Y", "Natural Gas", "None"), IF(C37="Y", "Heat Pump", "None")))</f>
        <v/>
      </c>
      <c r="N37" s="367"/>
      <c r="O37" s="367"/>
      <c r="P37" s="367"/>
      <c r="Q37" s="367"/>
      <c r="R37" s="377"/>
      <c r="S37" s="377"/>
      <c r="T37" s="379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hidden="1" customHeight="1" x14ac:dyDescent="0.3">
      <c r="A38" s="374">
        <v>37</v>
      </c>
      <c r="B38" s="368"/>
      <c r="C38" s="368"/>
      <c r="D38" s="369"/>
      <c r="E38" s="370"/>
      <c r="F38" s="371"/>
      <c r="G38" s="371"/>
      <c r="H38" s="371"/>
      <c r="I38" s="372"/>
      <c r="J38" s="377"/>
      <c r="K38" s="371"/>
      <c r="L38" s="372"/>
      <c r="M38" s="377" t="str">
        <f>IF(E38="", "", IF('Facility Info'!$H$8="Y", IF(C38="Y", "Natural Gas", "None"), IF(C38="Y", "Heat Pump", "None")))</f>
        <v/>
      </c>
      <c r="N38" s="367"/>
      <c r="O38" s="367"/>
      <c r="P38" s="367"/>
      <c r="Q38" s="367"/>
      <c r="R38" s="372"/>
      <c r="S38" s="372"/>
      <c r="T38" s="379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hidden="1" customHeight="1" x14ac:dyDescent="0.3">
      <c r="A39" s="374">
        <v>38</v>
      </c>
      <c r="B39" s="375"/>
      <c r="C39" s="375"/>
      <c r="D39" s="376"/>
      <c r="E39" s="377"/>
      <c r="F39" s="378"/>
      <c r="G39" s="378"/>
      <c r="H39" s="378"/>
      <c r="I39" s="377"/>
      <c r="J39" s="377"/>
      <c r="K39" s="371"/>
      <c r="L39" s="377"/>
      <c r="M39" s="377" t="str">
        <f>IF(E39="", "", IF('Facility Info'!$H$8="Y", IF(C39="Y", "Natural Gas", "None"), IF(C39="Y", "Heat Pump", "None")))</f>
        <v/>
      </c>
      <c r="N39" s="367"/>
      <c r="O39" s="367"/>
      <c r="P39" s="367"/>
      <c r="Q39" s="367"/>
      <c r="R39" s="377"/>
      <c r="S39" s="377"/>
      <c r="T39" s="379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hidden="1" customHeight="1" x14ac:dyDescent="0.3">
      <c r="A40" s="374">
        <v>39</v>
      </c>
      <c r="B40" s="368"/>
      <c r="C40" s="368"/>
      <c r="D40" s="369"/>
      <c r="E40" s="370"/>
      <c r="F40" s="371"/>
      <c r="G40" s="371"/>
      <c r="H40" s="371"/>
      <c r="I40" s="372"/>
      <c r="J40" s="377"/>
      <c r="K40" s="371"/>
      <c r="L40" s="372"/>
      <c r="M40" s="377" t="str">
        <f>IF(E40="", "", IF('Facility Info'!$H$8="Y", IF(C40="Y", "Natural Gas", "None"), IF(C40="Y", "Heat Pump", "None")))</f>
        <v/>
      </c>
      <c r="N40" s="367"/>
      <c r="O40" s="367"/>
      <c r="P40" s="367"/>
      <c r="Q40" s="367"/>
      <c r="R40" s="372"/>
      <c r="S40" s="372"/>
      <c r="T40" s="379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hidden="1" customHeight="1" x14ac:dyDescent="0.3">
      <c r="A41" s="374">
        <v>40</v>
      </c>
      <c r="B41" s="375"/>
      <c r="C41" s="375"/>
      <c r="D41" s="376"/>
      <c r="E41" s="377"/>
      <c r="F41" s="378"/>
      <c r="G41" s="378"/>
      <c r="H41" s="378"/>
      <c r="I41" s="377"/>
      <c r="J41" s="377"/>
      <c r="K41" s="371"/>
      <c r="L41" s="377"/>
      <c r="M41" s="377" t="str">
        <f>IF(E41="", "", IF('Facility Info'!$H$8="Y", IF(C41="Y", "Natural Gas", "None"), IF(C41="Y", "Heat Pump", "None")))</f>
        <v/>
      </c>
      <c r="N41" s="367"/>
      <c r="O41" s="367"/>
      <c r="P41" s="367"/>
      <c r="Q41" s="367"/>
      <c r="R41" s="377"/>
      <c r="S41" s="377"/>
      <c r="T41" s="379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hidden="1" customHeight="1" x14ac:dyDescent="0.3">
      <c r="A42" s="374">
        <v>41</v>
      </c>
      <c r="B42" s="368"/>
      <c r="C42" s="368"/>
      <c r="D42" s="369"/>
      <c r="E42" s="370"/>
      <c r="F42" s="371"/>
      <c r="G42" s="371"/>
      <c r="H42" s="371"/>
      <c r="I42" s="372"/>
      <c r="J42" s="377"/>
      <c r="K42" s="371"/>
      <c r="L42" s="372"/>
      <c r="M42" s="377" t="str">
        <f>IF(E42="", "", IF('Facility Info'!$H$8="Y", IF(C42="Y", "Natural Gas", "None"), IF(C42="Y", "Heat Pump", "None")))</f>
        <v/>
      </c>
      <c r="N42" s="367"/>
      <c r="O42" s="367"/>
      <c r="P42" s="367"/>
      <c r="Q42" s="367"/>
      <c r="R42" s="372"/>
      <c r="S42" s="372"/>
      <c r="T42" s="379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hidden="1" customHeight="1" x14ac:dyDescent="0.3">
      <c r="A43" s="374">
        <v>42</v>
      </c>
      <c r="B43" s="375"/>
      <c r="C43" s="375"/>
      <c r="D43" s="376"/>
      <c r="E43" s="377"/>
      <c r="F43" s="378"/>
      <c r="G43" s="378"/>
      <c r="H43" s="378"/>
      <c r="I43" s="377"/>
      <c r="J43" s="377"/>
      <c r="K43" s="371"/>
      <c r="L43" s="377"/>
      <c r="M43" s="377" t="str">
        <f>IF(E43="", "", IF('Facility Info'!$H$8="Y", IF(C43="Y", "Natural Gas", "None"), IF(C43="Y", "Heat Pump", "None")))</f>
        <v/>
      </c>
      <c r="N43" s="367"/>
      <c r="O43" s="367"/>
      <c r="P43" s="367"/>
      <c r="Q43" s="367"/>
      <c r="R43" s="377"/>
      <c r="S43" s="377"/>
      <c r="T43" s="379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hidden="1" customHeight="1" x14ac:dyDescent="0.3">
      <c r="A44" s="374">
        <v>43</v>
      </c>
      <c r="B44" s="368"/>
      <c r="C44" s="368"/>
      <c r="D44" s="369"/>
      <c r="E44" s="370"/>
      <c r="F44" s="371"/>
      <c r="G44" s="371"/>
      <c r="H44" s="371"/>
      <c r="I44" s="372"/>
      <c r="J44" s="377"/>
      <c r="K44" s="371"/>
      <c r="L44" s="372"/>
      <c r="M44" s="377" t="str">
        <f>IF(E44="", "", IF('Facility Info'!$H$8="Y", IF(C44="Y", "Natural Gas", "None"), IF(C44="Y", "Heat Pump", "None")))</f>
        <v/>
      </c>
      <c r="N44" s="367"/>
      <c r="O44" s="367"/>
      <c r="P44" s="367"/>
      <c r="Q44" s="367"/>
      <c r="R44" s="372"/>
      <c r="S44" s="372"/>
      <c r="T44" s="379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hidden="1" customHeight="1" x14ac:dyDescent="0.3">
      <c r="A45" s="374">
        <v>44</v>
      </c>
      <c r="B45" s="375"/>
      <c r="C45" s="375"/>
      <c r="D45" s="376"/>
      <c r="E45" s="377"/>
      <c r="F45" s="378"/>
      <c r="G45" s="378"/>
      <c r="H45" s="378"/>
      <c r="I45" s="377"/>
      <c r="J45" s="377"/>
      <c r="K45" s="371"/>
      <c r="L45" s="377"/>
      <c r="M45" s="377" t="str">
        <f>IF(E45="", "", IF('Facility Info'!$H$8="Y", IF(C45="Y", "Natural Gas", "None"), IF(C45="Y", "Heat Pump", "None")))</f>
        <v/>
      </c>
      <c r="N45" s="367"/>
      <c r="O45" s="367"/>
      <c r="P45" s="367"/>
      <c r="Q45" s="367"/>
      <c r="R45" s="377"/>
      <c r="S45" s="377"/>
      <c r="T45" s="379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hidden="1" customHeight="1" x14ac:dyDescent="0.3">
      <c r="A46" s="374">
        <v>45</v>
      </c>
      <c r="B46" s="368"/>
      <c r="C46" s="368"/>
      <c r="D46" s="369"/>
      <c r="E46" s="370"/>
      <c r="F46" s="371"/>
      <c r="G46" s="371"/>
      <c r="H46" s="371"/>
      <c r="I46" s="372"/>
      <c r="J46" s="377"/>
      <c r="K46" s="371"/>
      <c r="L46" s="372"/>
      <c r="M46" s="377" t="str">
        <f>IF(E46="", "", IF('Facility Info'!$H$8="Y", IF(C46="Y", "Natural Gas", "None"), IF(C46="Y", "Heat Pump", "None")))</f>
        <v/>
      </c>
      <c r="N46" s="367"/>
      <c r="O46" s="367"/>
      <c r="P46" s="367"/>
      <c r="Q46" s="367"/>
      <c r="R46" s="372"/>
      <c r="S46" s="372"/>
      <c r="T46" s="379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hidden="1" customHeight="1" x14ac:dyDescent="0.3">
      <c r="A47" s="374">
        <v>46</v>
      </c>
      <c r="B47" s="375"/>
      <c r="C47" s="375"/>
      <c r="D47" s="376"/>
      <c r="E47" s="377"/>
      <c r="F47" s="378"/>
      <c r="G47" s="378"/>
      <c r="H47" s="378"/>
      <c r="I47" s="377"/>
      <c r="J47" s="377"/>
      <c r="K47" s="371"/>
      <c r="L47" s="377"/>
      <c r="M47" s="377" t="str">
        <f>IF(E47="", "", IF('Facility Info'!$H$8="Y", IF(C47="Y", "Natural Gas", "None"), IF(C47="Y", "Heat Pump", "None")))</f>
        <v/>
      </c>
      <c r="N47" s="367"/>
      <c r="O47" s="367"/>
      <c r="P47" s="367"/>
      <c r="Q47" s="367"/>
      <c r="R47" s="377"/>
      <c r="S47" s="377"/>
      <c r="T47" s="379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hidden="1" customHeight="1" x14ac:dyDescent="0.3">
      <c r="A48" s="374">
        <v>47</v>
      </c>
      <c r="B48" s="368"/>
      <c r="C48" s="368"/>
      <c r="D48" s="369"/>
      <c r="E48" s="370"/>
      <c r="F48" s="371"/>
      <c r="G48" s="371"/>
      <c r="H48" s="371"/>
      <c r="I48" s="372"/>
      <c r="J48" s="377"/>
      <c r="K48" s="371"/>
      <c r="L48" s="372"/>
      <c r="M48" s="377" t="str">
        <f>IF(E48="", "", IF('Facility Info'!$H$8="Y", IF(C48="Y", "Natural Gas", "None"), IF(C48="Y", "Heat Pump", "None")))</f>
        <v/>
      </c>
      <c r="N48" s="367"/>
      <c r="O48" s="367"/>
      <c r="P48" s="367"/>
      <c r="Q48" s="367"/>
      <c r="R48" s="372"/>
      <c r="S48" s="372"/>
      <c r="T48" s="379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hidden="1" customHeight="1" x14ac:dyDescent="0.3">
      <c r="A49" s="374">
        <v>48</v>
      </c>
      <c r="B49" s="375"/>
      <c r="C49" s="375"/>
      <c r="D49" s="376"/>
      <c r="E49" s="377"/>
      <c r="F49" s="378"/>
      <c r="G49" s="378"/>
      <c r="H49" s="378"/>
      <c r="I49" s="377"/>
      <c r="J49" s="377"/>
      <c r="K49" s="371"/>
      <c r="L49" s="377"/>
      <c r="M49" s="377" t="str">
        <f>IF(E49="", "", IF('Facility Info'!$H$8="Y", IF(C49="Y", "Natural Gas", "None"), IF(C49="Y", "Heat Pump", "None")))</f>
        <v/>
      </c>
      <c r="N49" s="367"/>
      <c r="O49" s="367"/>
      <c r="P49" s="367"/>
      <c r="Q49" s="367"/>
      <c r="R49" s="377"/>
      <c r="S49" s="377"/>
      <c r="T49" s="379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hidden="1" customHeight="1" x14ac:dyDescent="0.3">
      <c r="A50" s="374">
        <v>49</v>
      </c>
      <c r="B50" s="368"/>
      <c r="C50" s="368"/>
      <c r="D50" s="369"/>
      <c r="E50" s="370"/>
      <c r="F50" s="371"/>
      <c r="G50" s="371"/>
      <c r="H50" s="371"/>
      <c r="I50" s="372"/>
      <c r="J50" s="377"/>
      <c r="K50" s="371"/>
      <c r="L50" s="372"/>
      <c r="M50" s="377" t="str">
        <f>IF(E50="", "", IF('Facility Info'!$H$8="Y", IF(C50="Y", "Natural Gas", "None"), IF(C50="Y", "Heat Pump", "None")))</f>
        <v/>
      </c>
      <c r="N50" s="367"/>
      <c r="O50" s="367"/>
      <c r="P50" s="367"/>
      <c r="Q50" s="367"/>
      <c r="R50" s="372"/>
      <c r="S50" s="372"/>
      <c r="T50" s="379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hidden="1" customHeight="1" x14ac:dyDescent="0.3">
      <c r="A51" s="374">
        <v>50</v>
      </c>
      <c r="B51" s="375"/>
      <c r="C51" s="375"/>
      <c r="D51" s="376"/>
      <c r="E51" s="377"/>
      <c r="F51" s="378"/>
      <c r="G51" s="378"/>
      <c r="H51" s="378"/>
      <c r="I51" s="377"/>
      <c r="J51" s="377"/>
      <c r="K51" s="371"/>
      <c r="L51" s="377"/>
      <c r="M51" s="377" t="str">
        <f>IF(E51="", "", IF('Facility Info'!$H$8="Y", IF(C51="Y", "Natural Gas", "None"), IF(C51="Y", "Heat Pump", "None")))</f>
        <v/>
      </c>
      <c r="N51" s="367"/>
      <c r="O51" s="367"/>
      <c r="P51" s="367"/>
      <c r="Q51" s="367"/>
      <c r="R51" s="377"/>
      <c r="S51" s="377"/>
      <c r="T51" s="379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hidden="1" customHeight="1" x14ac:dyDescent="0.3">
      <c r="A52" s="374">
        <v>51</v>
      </c>
      <c r="B52" s="368"/>
      <c r="C52" s="368"/>
      <c r="D52" s="369"/>
      <c r="E52" s="370"/>
      <c r="F52" s="371"/>
      <c r="G52" s="371"/>
      <c r="H52" s="371"/>
      <c r="I52" s="372"/>
      <c r="J52" s="377"/>
      <c r="K52" s="371"/>
      <c r="L52" s="372"/>
      <c r="M52" s="377" t="str">
        <f>IF(E52="", "", IF('Facility Info'!$H$8="Y", IF(C52="Y", "Natural Gas", "None"), IF(C52="Y", "Heat Pump", "None")))</f>
        <v/>
      </c>
      <c r="N52" s="367"/>
      <c r="O52" s="367"/>
      <c r="P52" s="367"/>
      <c r="Q52" s="367"/>
      <c r="R52" s="372"/>
      <c r="S52" s="372"/>
      <c r="T52" s="379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hidden="1" customHeight="1" thickBot="1" x14ac:dyDescent="0.35">
      <c r="A53" s="374">
        <v>52</v>
      </c>
      <c r="B53" s="375"/>
      <c r="C53" s="375"/>
      <c r="D53" s="376"/>
      <c r="E53" s="377"/>
      <c r="F53" s="378"/>
      <c r="G53" s="378"/>
      <c r="H53" s="378"/>
      <c r="I53" s="377"/>
      <c r="J53" s="381"/>
      <c r="K53" s="371"/>
      <c r="L53" s="377"/>
      <c r="M53" s="377" t="str">
        <f>IF(E53="", "", IF('Facility Info'!$H$8="Y", IF(C53="Y", "Natural Gas", "None"), IF(C53="Y", "Heat Pump", "None")))</f>
        <v/>
      </c>
      <c r="N53" s="367"/>
      <c r="O53" s="367"/>
      <c r="P53" s="367"/>
      <c r="Q53" s="367"/>
      <c r="R53" s="377"/>
      <c r="S53" s="377"/>
      <c r="T53" s="379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9" t="s">
        <v>5</v>
      </c>
      <c r="B54" s="369" t="s">
        <v>723</v>
      </c>
      <c r="C54" s="382"/>
      <c r="D54" s="383"/>
      <c r="E54" s="384"/>
      <c r="F54" s="385"/>
      <c r="G54" s="385"/>
      <c r="H54" s="385"/>
      <c r="I54" s="384"/>
      <c r="J54" s="372"/>
      <c r="K54" s="385"/>
      <c r="L54" s="384"/>
      <c r="M54" s="377" t="str">
        <f>IF(E54="", "", IF('Facility Info'!$H$8="Y", IF(C54="Y", "Natural Gas", "None"), IF(C54="Y", "Heat Pump", "None")))</f>
        <v/>
      </c>
      <c r="N54" s="385"/>
      <c r="O54" s="385"/>
      <c r="P54" s="385"/>
      <c r="Q54" s="385"/>
      <c r="R54" s="384"/>
      <c r="S54" s="384"/>
      <c r="T54" s="379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10"/>
      <c r="B55" s="386" t="s">
        <v>724</v>
      </c>
      <c r="C55" s="380"/>
      <c r="D55" s="386"/>
      <c r="E55" s="381"/>
      <c r="F55" s="387"/>
      <c r="G55" s="387"/>
      <c r="H55" s="387"/>
      <c r="I55" s="381"/>
      <c r="J55" s="381"/>
      <c r="K55" s="387"/>
      <c r="L55" s="381"/>
      <c r="M55" s="381" t="str">
        <f>IF(E55="", "", IF('Facility Info'!H8="Y", IF(C55="Y", "Natural Gas", "None"), IF(C55="Y", "Heat Pump", "None")))</f>
        <v/>
      </c>
      <c r="N55" s="387"/>
      <c r="O55" s="387"/>
      <c r="P55" s="387"/>
      <c r="Q55" s="387"/>
      <c r="R55" s="394"/>
      <c r="S55" s="396"/>
      <c r="T55" s="391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88" t="s">
        <v>4</v>
      </c>
      <c r="B56" s="392"/>
      <c r="C56" s="392"/>
      <c r="D56" s="393"/>
      <c r="E56" s="392"/>
      <c r="F56" s="393"/>
      <c r="G56" s="393"/>
      <c r="H56" s="393"/>
      <c r="I56" s="392"/>
      <c r="J56" s="392"/>
      <c r="K56" s="393"/>
      <c r="L56" s="394"/>
      <c r="M56" s="372" t="str">
        <f>IF(E56="", "", IF('Facility Info'!H8="Y", IF(C56="Y", "Natural Gas", "None"), IF(C56="Y", "Heat Pump", "None")))</f>
        <v/>
      </c>
      <c r="N56" s="395"/>
      <c r="O56" s="395"/>
      <c r="P56" s="395"/>
      <c r="Q56" s="395"/>
      <c r="R56" s="394"/>
      <c r="S56" s="394"/>
      <c r="T56" s="373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2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2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2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2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2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2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2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2" hidden="1" customHeight="1" x14ac:dyDescent="0.3">
      <c r="E64" s="2" t="s">
        <v>653</v>
      </c>
      <c r="S64" s="2" t="s">
        <v>600</v>
      </c>
    </row>
    <row r="65" spans="5:5" ht="16.2" hidden="1" customHeight="1" x14ac:dyDescent="0.3">
      <c r="E65" s="2" t="s">
        <v>654</v>
      </c>
    </row>
    <row r="66" spans="5:5" ht="16.2" hidden="1" customHeight="1" x14ac:dyDescent="0.3">
      <c r="E66" s="2" t="s">
        <v>655</v>
      </c>
    </row>
    <row r="67" spans="5:5" ht="16.2" hidden="1" customHeight="1" x14ac:dyDescent="0.3">
      <c r="E67" s="2" t="s">
        <v>656</v>
      </c>
    </row>
    <row r="68" spans="5:5" ht="16.2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4" zoomScaleNormal="100" workbookViewId="0">
      <selection activeCell="H16" sqref="H16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84.77734375" style="67" bestFit="1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748</v>
      </c>
      <c r="H17" s="335" t="s">
        <v>750</v>
      </c>
      <c r="I17" s="35" t="s">
        <v>433</v>
      </c>
      <c r="J17" s="35" t="s">
        <v>749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748</v>
      </c>
      <c r="H18" s="335" t="s">
        <v>750</v>
      </c>
      <c r="I18" s="35" t="s">
        <v>433</v>
      </c>
      <c r="J18" s="35" t="s">
        <v>749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99" t="s">
        <v>748</v>
      </c>
      <c r="H23" s="398" t="s">
        <v>750</v>
      </c>
      <c r="I23" s="253" t="s">
        <v>433</v>
      </c>
      <c r="J23" s="253" t="s">
        <v>749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dataValidations count="1">
    <dataValidation type="list" allowBlank="1" showInputMessage="1" showErrorMessage="1" sqref="H23">
      <formula1>$C$14:$C$15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11"/>
      <c r="B1" s="412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0" t="s">
        <v>32</v>
      </c>
      <c r="B1" s="431"/>
      <c r="C1" s="17"/>
      <c r="D1" s="152"/>
      <c r="E1" s="147"/>
      <c r="I1" s="146" t="s">
        <v>17</v>
      </c>
      <c r="J1" s="425" t="s">
        <v>17</v>
      </c>
      <c r="K1" s="426"/>
      <c r="L1" s="426"/>
      <c r="M1" s="426"/>
      <c r="N1" s="426"/>
      <c r="O1" s="426"/>
      <c r="P1" s="426"/>
      <c r="Q1" s="426"/>
      <c r="R1" s="426"/>
      <c r="S1" s="426"/>
      <c r="T1" s="426"/>
      <c r="U1" s="426"/>
      <c r="V1" s="426"/>
      <c r="W1" s="426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25" t="s">
        <v>18</v>
      </c>
      <c r="K2" s="426"/>
      <c r="L2" s="426"/>
      <c r="M2" s="426"/>
      <c r="N2" s="426"/>
      <c r="O2" s="426"/>
      <c r="P2" s="426"/>
      <c r="Q2" s="426"/>
      <c r="R2" s="426"/>
      <c r="S2" s="426"/>
      <c r="T2" s="426"/>
      <c r="U2" s="426"/>
      <c r="V2" s="426"/>
      <c r="W2" s="426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24" t="s">
        <v>612</v>
      </c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4"/>
      <c r="W3" s="424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7" t="s">
        <v>19</v>
      </c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7"/>
      <c r="W4" s="418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7" t="s">
        <v>20</v>
      </c>
      <c r="K5" s="417"/>
      <c r="L5" s="417"/>
      <c r="M5" s="417"/>
      <c r="N5" s="417"/>
      <c r="O5" s="417"/>
      <c r="P5" s="417"/>
      <c r="Q5" s="417"/>
      <c r="R5" s="417"/>
      <c r="S5" s="417"/>
      <c r="T5" s="417"/>
      <c r="U5" s="417"/>
      <c r="V5" s="417"/>
      <c r="W5" s="418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22" t="s">
        <v>613</v>
      </c>
      <c r="K6" s="423"/>
      <c r="L6" s="423"/>
      <c r="M6" s="423"/>
      <c r="N6" s="423"/>
      <c r="O6" s="423"/>
      <c r="P6" s="423"/>
      <c r="Q6" s="423"/>
      <c r="R6" s="423"/>
      <c r="S6" s="423"/>
      <c r="T6" s="423"/>
      <c r="U6" s="423"/>
      <c r="V6" s="423"/>
      <c r="W6" s="423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24" t="s">
        <v>614</v>
      </c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16" t="s">
        <v>615</v>
      </c>
      <c r="K8" s="417"/>
      <c r="L8" s="417"/>
      <c r="M8" s="417"/>
      <c r="N8" s="417"/>
      <c r="O8" s="417"/>
      <c r="P8" s="417"/>
      <c r="Q8" s="417"/>
      <c r="R8" s="417"/>
      <c r="S8" s="417"/>
      <c r="T8" s="417"/>
      <c r="U8" s="417"/>
      <c r="V8" s="417"/>
      <c r="W8" s="418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16" t="s">
        <v>616</v>
      </c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18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13" t="s">
        <v>617</v>
      </c>
      <c r="K10" s="414"/>
      <c r="L10" s="414"/>
      <c r="M10" s="414"/>
      <c r="N10" s="414"/>
      <c r="O10" s="414"/>
      <c r="P10" s="414"/>
      <c r="Q10" s="414"/>
      <c r="R10" s="414"/>
      <c r="S10" s="414"/>
      <c r="T10" s="414"/>
      <c r="U10" s="414"/>
      <c r="V10" s="414"/>
      <c r="W10" s="415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13" t="s">
        <v>618</v>
      </c>
      <c r="K11" s="414"/>
      <c r="L11" s="414"/>
      <c r="M11" s="414"/>
      <c r="N11" s="414"/>
      <c r="O11" s="414"/>
      <c r="P11" s="414"/>
      <c r="Q11" s="414"/>
      <c r="R11" s="414"/>
      <c r="S11" s="414"/>
      <c r="T11" s="414"/>
      <c r="U11" s="414"/>
      <c r="V11" s="414"/>
      <c r="W11" s="415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13" t="s">
        <v>619</v>
      </c>
      <c r="K12" s="414"/>
      <c r="L12" s="414"/>
      <c r="M12" s="414"/>
      <c r="N12" s="414"/>
      <c r="O12" s="414"/>
      <c r="P12" s="414"/>
      <c r="Q12" s="414"/>
      <c r="R12" s="414"/>
      <c r="S12" s="414"/>
      <c r="T12" s="414"/>
      <c r="U12" s="414"/>
      <c r="V12" s="414"/>
      <c r="W12" s="415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16" t="s">
        <v>620</v>
      </c>
      <c r="K13" s="417"/>
      <c r="L13" s="417"/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8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13" t="s">
        <v>621</v>
      </c>
      <c r="K14" s="414"/>
      <c r="L14" s="414"/>
      <c r="M14" s="414"/>
      <c r="N14" s="414"/>
      <c r="O14" s="414"/>
      <c r="P14" s="414"/>
      <c r="Q14" s="414"/>
      <c r="R14" s="414"/>
      <c r="S14" s="414"/>
      <c r="T14" s="414"/>
      <c r="U14" s="414"/>
      <c r="V14" s="414"/>
      <c r="W14" s="415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19" t="s">
        <v>622</v>
      </c>
      <c r="K15" s="420"/>
      <c r="L15" s="420"/>
      <c r="M15" s="420"/>
      <c r="N15" s="420"/>
      <c r="O15" s="420"/>
      <c r="P15" s="420"/>
      <c r="Q15" s="420"/>
      <c r="R15" s="420"/>
      <c r="S15" s="420"/>
      <c r="T15" s="420"/>
      <c r="U15" s="420"/>
      <c r="V15" s="420"/>
      <c r="W15" s="421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16" t="s">
        <v>623</v>
      </c>
      <c r="K16" s="417"/>
      <c r="L16" s="417"/>
      <c r="M16" s="417"/>
      <c r="N16" s="417"/>
      <c r="O16" s="417"/>
      <c r="P16" s="417"/>
      <c r="Q16" s="417"/>
      <c r="R16" s="417"/>
      <c r="S16" s="417"/>
      <c r="T16" s="417"/>
      <c r="U16" s="417"/>
      <c r="V16" s="417"/>
      <c r="W16" s="418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16" t="s">
        <v>624</v>
      </c>
      <c r="K17" s="417"/>
      <c r="L17" s="417"/>
      <c r="M17" s="417"/>
      <c r="N17" s="417"/>
      <c r="O17" s="417"/>
      <c r="P17" s="417"/>
      <c r="Q17" s="417"/>
      <c r="R17" s="417"/>
      <c r="S17" s="417"/>
      <c r="T17" s="417"/>
      <c r="U17" s="417"/>
      <c r="V17" s="417"/>
      <c r="W17" s="418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19" t="s">
        <v>625</v>
      </c>
      <c r="K18" s="420"/>
      <c r="L18" s="420"/>
      <c r="M18" s="420"/>
      <c r="N18" s="420"/>
      <c r="O18" s="420"/>
      <c r="P18" s="420"/>
      <c r="Q18" s="420"/>
      <c r="R18" s="420"/>
      <c r="S18" s="420"/>
      <c r="T18" s="420"/>
      <c r="U18" s="420"/>
      <c r="V18" s="420"/>
      <c r="W18" s="421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16" t="s">
        <v>626</v>
      </c>
      <c r="K19" s="417"/>
      <c r="L19" s="417"/>
      <c r="M19" s="417"/>
      <c r="N19" s="417"/>
      <c r="O19" s="417"/>
      <c r="P19" s="417"/>
      <c r="Q19" s="417"/>
      <c r="R19" s="417"/>
      <c r="S19" s="417"/>
      <c r="T19" s="417"/>
      <c r="U19" s="417"/>
      <c r="V19" s="417"/>
      <c r="W19" s="418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11" t="s">
        <v>54</v>
      </c>
      <c r="B22" s="412"/>
      <c r="D22" s="19"/>
    </row>
    <row r="23" spans="1:23" s="15" customFormat="1" ht="29.25" customHeight="1" x14ac:dyDescent="0.3">
      <c r="A23" s="432"/>
      <c r="B23" s="433"/>
      <c r="D23" s="16"/>
    </row>
    <row r="24" spans="1:23" s="15" customFormat="1" ht="29.25" customHeight="1" x14ac:dyDescent="0.3">
      <c r="A24" s="434"/>
      <c r="B24" s="435"/>
      <c r="D24" s="16"/>
    </row>
    <row r="25" spans="1:23" s="15" customFormat="1" ht="29.25" customHeight="1" x14ac:dyDescent="0.3">
      <c r="A25" s="434"/>
      <c r="B25" s="435"/>
      <c r="D25" s="16"/>
    </row>
    <row r="26" spans="1:23" s="15" customFormat="1" ht="29.25" customHeight="1" x14ac:dyDescent="0.3">
      <c r="A26" s="434"/>
      <c r="B26" s="435"/>
      <c r="D26" s="16"/>
    </row>
    <row r="27" spans="1:23" s="15" customFormat="1" ht="29.25" customHeight="1" thickBot="1" x14ac:dyDescent="0.35">
      <c r="A27" s="428"/>
      <c r="B27" s="429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2012-11-27T19:48:23Z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