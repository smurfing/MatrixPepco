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esktop\"/>
    </mc:Choice>
  </mc:AlternateContent>
  <bookViews>
    <workbookView xWindow="0" yWindow="0" windowWidth="23040" windowHeight="8328" tabRatio="899" activeTab="4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r:id="rId5"/>
    <sheet name="AuditorList" sheetId="19" state="hidden" r:id="rId6"/>
    <sheet name="HVAC" sheetId="14" r:id="rId7"/>
    <sheet name="Water Heating" sheetId="15" r:id="rId8"/>
    <sheet name="Refrigerators" sheetId="7" r:id="rId9"/>
    <sheet name="Walk Ins and Ice Makers" sheetId="13" r:id="rId10"/>
    <sheet name="Food Service" sheetId="16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0">'Facility Info'!$A$1:$L$29</definedName>
    <definedName name="_xlnm.Print_Area" localSheetId="10">'Food Service'!$A$1:$B$9</definedName>
    <definedName name="_xlnm.Print_Area" localSheetId="6">HVAC!$A$1:$M$10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8">Refrigerators!$A$1:$E$22</definedName>
    <definedName name="_xlnm.Print_Area" localSheetId="13">'Vending Machines'!$A$1:$E$3</definedName>
    <definedName name="_xlnm.Print_Area" localSheetId="9">'Walk Ins and Ice Makers'!$A$1:$E$15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15" i="2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<sst xmlns="http://schemas.openxmlformats.org/spreadsheetml/2006/main" count="1072" uniqueCount="733">
  <si>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</si>
  <si>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</si>
  <si>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</si>
  <si>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</si>
  <si>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</si>
  <si>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</si>
  <si>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</si>
  <si>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</si>
  <si>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</si>
  <si>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</si>
  <si>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</si>
  <si>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</si>
  <si>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</si>
  <si>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</si>
  <si>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</si>
  <si>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</si>
  <si>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</si>
  <si>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</si>
  <si>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</si>
  <si>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</si>
  <si>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</si>
  <si>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</si>
  <si>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</si>
  <si>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</si>
  <si>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</si>
  <si>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</si>
  <si>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</si>
  <si>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</si>
  <si>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</si>
  <si>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</si>
  <si>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</si>
  <si>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</si>
  <si>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</si>
  <si>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</si>
  <si>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</si>
  <si>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</si>
  <si>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</si>
  <si>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</si>
  <si>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</si>
  <si>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</si>
  <si>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</si>
  <si>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</si>
  <si>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</si>
  <si>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</si>
  <si>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</si>
  <si>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</si>
  <si>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</si>
  <si>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</si>
  <si>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</si>
  <si>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</si>
  <si>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</si>
  <si>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</si>
  <si>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</si>
  <si>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</si>
  <si>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</si>
  <si>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</si>
  <si>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</si>
  <si>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</si>
  <si>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</si>
  <si>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</si>
  <si>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</si>
  <si>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</si>
  <si>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</si>
  <si>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</si>
  <si>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</si>
  <si>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</si>
  <si>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</si>
  <si>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</si>
  <si>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</si>
  <si>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</si>
  <si>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</si>
  <si>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</si>
  <si>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</si>
  <si>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</si>
  <si>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</si>
  <si>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</si>
  <si>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</si>
  <si>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</si>
  <si>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</si>
  <si>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</si>
  <si>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</si>
  <si>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</si>
  <si>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</si>
  <si>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</si>
  <si>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</si>
  <si>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</si>
  <si>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</si>
  <si>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</si>
  <si>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</si>
  <si>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</si>
  <si>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</si>
  <si>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</si>
  <si>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</si>
  <si>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</si>
  <si>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</si>
  <si>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</si>
  <si>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</si>
  <si>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</si>
  <si>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</si>
  <si>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</si>
  <si>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</si>
  <si>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</si>
  <si>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</si>
  <si>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</si>
  <si>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</si>
  <si>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</si>
  <si>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</si>
  <si>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</si>
  <si>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</si>
  <si>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</si>
  <si>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</si>
  <si>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</si>
  <si>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</si>
  <si>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</si>
  <si>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</si>
  <si>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</si>
  <si>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</si>
  <si>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</si>
  <si>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</si>
  <si>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</si>
  <si>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</si>
  <si>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</si>
  <si>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</si>
  <si>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</si>
  <si>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</si>
  <si>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</si>
  <si>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</si>
  <si>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</si>
  <si>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</si>
  <si>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</si>
  <si>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</si>
  <si>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</si>
  <si>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</si>
  <si>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</si>
  <si>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</si>
  <si>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</si>
  <si>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</si>
  <si>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</si>
  <si>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</si>
  <si>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</si>
  <si>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</si>
  <si>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</si>
  <si>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</si>
  <si>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</si>
  <si>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</si>
  <si>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</si>
  <si>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</si>
  <si>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</si>
  <si>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</si>
  <si>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</si>
  <si>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</si>
  <si>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</si>
  <si>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</si>
  <si>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</si>
  <si>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</si>
  <si>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</si>
  <si>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</si>
  <si>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</si>
  <si>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</si>
  <si>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</si>
  <si>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</si>
  <si>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</si>
  <si>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</si>
  <si>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</si>
  <si>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</si>
  <si>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</si>
  <si>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</si>
  <si>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</si>
  <si>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</si>
  <si>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</si>
  <si>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</si>
  <si>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</si>
  <si>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</si>
  <si>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</si>
  <si>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</si>
  <si>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</si>
  <si>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</si>
  <si>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</si>
  <si>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</si>
  <si>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</si>
  <si>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</si>
  <si>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</si>
  <si>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</si>
  <si>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</si>
  <si>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</si>
  <si>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</si>
  <si>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</si>
  <si>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</si>
  <si>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</si>
  <si>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</si>
  <si>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</si>
  <si>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</si>
  <si>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</si>
  <si>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</si>
  <si>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</si>
  <si>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</si>
  <si>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</si>
  <si>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</si>
  <si>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</si>
  <si>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</si>
  <si>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</si>
  <si>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</si>
  <si>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</si>
  <si>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</si>
  <si>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</si>
  <si>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</si>
  <si>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</si>
  <si>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</si>
  <si>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</si>
  <si>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</si>
  <si>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</si>
  <si>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</si>
  <si>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</si>
  <si>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</si>
  <si>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</si>
  <si>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</si>
  <si>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</si>
  <si>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</si>
  <si>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</si>
  <si>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</si>
  <si>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</si>
  <si>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</si>
  <si>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</si>
  <si>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</si>
  <si>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</si>
  <si>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</si>
  <si>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</si>
  <si>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</si>
  <si>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</si>
  <si>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</si>
  <si>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</si>
  <si>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</si>
  <si>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</si>
  <si>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</si>
  <si>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</si>
  <si>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</si>
  <si>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</si>
  <si>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</si>
  <si>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</si>
  <si>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</si>
  <si>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</si>
  <si>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</si>
  <si>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</si>
  <si>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</si>
  <si>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</si>
  <si>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</si>
  <si>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</si>
  <si>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</si>
  <si>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</si>
  <si>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</si>
  <si>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</si>
  <si>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</si>
  <si>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</si>
  <si>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</si>
  <si>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</si>
  <si>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</si>
  <si>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</si>
  <si>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</si>
  <si>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</si>
  <si>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</si>
  <si>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</si>
  <si>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</si>
  <si>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</si>
  <si>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</si>
  <si>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</si>
  <si>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</si>
  <si>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</si>
  <si>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</si>
  <si>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</si>
  <si>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</si>
  <si>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</si>
  <si>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</si>
  <si>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</si>
  <si>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</si>
  <si>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</si>
  <si>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</si>
  <si>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</si>
  <si>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</si>
  <si>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</si>
  <si>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</si>
  <si>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</si>
  <si>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</si>
  <si>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</si>
  <si>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</si>
  <si>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</si>
  <si>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</si>
  <si>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</si>
  <si>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</si>
  <si>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</si>
  <si>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</si>
  <si>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</si>
  <si>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</si>
  <si>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</si>
  <si>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</si>
  <si>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</si>
  <si>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</si>
  <si>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</si>
  <si>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</si>
  <si>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</si>
  <si>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</si>
  <si>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</si>
  <si>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</si>
  <si>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</si>
  <si>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</si>
  <si>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</si>
  <si>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</si>
  <si>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</si>
  <si>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</si>
  <si>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</si>
  <si>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</si>
  <si>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</si>
  <si>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</si>
  <si>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</si>
  <si>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</si>
  <si>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</si>
  <si>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</si>
  <si>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</si>
  <si>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</si>
  <si>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</si>
  <si>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</si>
  <si>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</si>
  <si>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</si>
  <si>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</si>
  <si>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</si>
  <si>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</si>
  <si>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</si>
  <si>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</si>
  <si>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</si>
  <si>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</si>
  <si>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</si>
  <si>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</si>
  <si>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</si>
  <si>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</si>
  <si>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</si>
  <si>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</si>
  <si>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</si>
  <si>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</si>
  <si>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</si>
  <si>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</si>
  <si>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</si>
  <si>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</si>
  <si>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</si>
  <si>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</si>
  <si>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</si>
  <si>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</si>
  <si>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</si>
  <si>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</si>
  <si>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</si>
  <si>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</si>
  <si>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</si>
  <si>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</si>
  <si>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</si>
  <si>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</si>
  <si>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</si>
  <si>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</si>
  <si>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</si>
  <si>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</si>
  <si>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</si>
  <si>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</si>
  <si>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</si>
  <si>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</si>
  <si>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</si>
  <si>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</si>
  <si>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</si>
  <si>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</si>
  <si>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</si>
  <si>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</si>
  <si>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</si>
  <si>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</si>
  <si>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</si>
  <si>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</si>
  <si>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</si>
  <si>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</si>
  <si>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</si>
  <si>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</si>
  <si>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</si>
  <si>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</si>
  <si>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</si>
  <si>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</si>
  <si>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</si>
  <si>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</si>
  <si>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</si>
  <si>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</si>
  <si>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</si>
  <si>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</si>
  <si>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</si>
  <si>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</si>
  <si>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</si>
  <si>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</si>
  <si>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</si>
  <si>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</si>
  <si>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</si>
  <si>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</si>
  <si>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</si>
  <si>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</si>
  <si>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</si>
  <si>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</si>
  <si>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</si>
  <si>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</si>
  <si>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</si>
  <si>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</si>
  <si>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</si>
  <si>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</si>
  <si>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</si>
  <si>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</si>
  <si>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</si>
  <si>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</si>
  <si>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</si>
  <si>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</si>
  <si>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</si>
  <si>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</si>
  <si>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</si>
  <si>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</si>
  <si>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</si>
  <si>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</si>
  <si>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</si>
  <si>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</si>
  <si>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</si>
  <si>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</si>
  <si>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</si>
  <si>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</si>
  <si>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</si>
  <si>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</si>
  <si>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</si>
  <si>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</si>
  <si>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</si>
  <si>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</si>
  <si>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</si>
  <si>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</si>
  <si>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</si>
  <si>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</si>
  <si>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</si>
  <si>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</si>
  <si>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</si>
  <si>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</si>
  <si>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</si>
  <si>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</si>
  <si>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</si>
  <si>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</si>
  <si>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</si>
  <si>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</si>
  <si>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</si>
  <si>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</si>
  <si>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</si>
  <si>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</si>
  <si>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</si>
  <si>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</si>
  <si>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</si>
  <si>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</si>
  <si>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</si>
  <si>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</si>
  <si>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</si>
  <si>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</si>
  <si>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</si>
  <si>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</si>
  <si>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</si>
  <si>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</si>
  <si>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</si>
  <si>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</si>
  <si>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</si>
  <si>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</si>
  <si>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</si>
  <si>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</si>
  <si>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</si>
  <si>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</si>
  <si>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</si>
  <si>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</si>
  <si>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</si>
  <si>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</si>
  <si>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</si>
  <si>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</si>
  <si>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</si>
  <si>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</si>
  <si>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</si>
  <si>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</si>
  <si>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</si>
  <si>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</si>
  <si>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</si>
  <si>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</si>
  <si>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</si>
  <si>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</si>
  <si>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</si>
  <si>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</si>
  <si>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</si>
  <si>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</si>
  <si>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</si>
  <si>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</si>
  <si>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</si>
  <si>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</si>
  <si>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</si>
  <si>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</si>
  <si>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</si>
  <si>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</si>
  <si>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</si>
  <si>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</si>
  <si>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</si>
  <si>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</si>
  <si>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</si>
  <si>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</si>
  <si>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</si>
  <si>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</si>
  <si>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</si>
  <si>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</si>
  <si>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</si>
  <si>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</si>
  <si>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</si>
  <si>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</si>
  <si>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</si>
  <si>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</si>
  <si>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</si>
  <si>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</si>
  <si>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</si>
  <si>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</si>
  <si>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</si>
  <si>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</si>
  <si>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</si>
  <si>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</si>
  <si>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</si>
  <si>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</si>
  <si>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</si>
  <si>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</si>
  <si>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</si>
  <si>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</si>
  <si>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</si>
  <si>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</si>
  <si>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</si>
  <si>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</si>
  <si>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</si>
  <si>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</si>
  <si>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</si>
  <si>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</si>
  <si>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</si>
  <si>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</si>
  <si>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</si>
  <si>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</si>
  <si>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</si>
  <si>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</si>
  <si>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</si>
  <si>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</si>
  <si>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</si>
  <si>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</si>
  <si>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</si>
  <si>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</si>
  <si>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</si>
  <si>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</si>
  <si>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</si>
  <si>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</si>
  <si>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</si>
  <si>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</si>
  <si>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</si>
  <si>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</si>
  <si>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</si>
  <si>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</si>
  <si>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</si>
  <si>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</si>
  <si>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</si>
  <si>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</si>
  <si>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</si>
  <si>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</si>
  <si>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</si>
  <si>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</si>
  <si>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</si>
  <si>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</si>
  <si>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</si>
  <si>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</si>
  <si>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</si>
  <si>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</si>
  <si>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</si>
  <si>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</si>
  <si>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</si>
  <si>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</si>
  <si>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</si>
  <si>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</si>
  <si>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</si>
  <si>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</si>
  <si>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</si>
  <si>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</si>
  <si>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</si>
  <si>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</si>
  <si>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</si>
  <si>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</si>
  <si>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</si>
  <si>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</si>
  <si>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</si>
  <si>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</si>
  <si>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</si>
  <si>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</si>
  <si>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</si>
  <si>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</si>
  <si>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</si>
  <si>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</si>
  <si>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</si>
  <si>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</si>
  <si>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</si>
  <si>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</si>
  <si>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</si>
  <si>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</si>
  <si>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</si>
  <si>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</si>
  <si>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</si>
  <si>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</si>
  <si>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</si>
  <si>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</si>
  <si>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</si>
  <si>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</si>
  <si>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</si>
  <si>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</si>
  <si>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</si>
  <si>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</si>
  <si>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</si>
  <si>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</si>
  <si>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</si>
  <si>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</si>
  <si>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</si>
  <si>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</si>
  <si>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</si>
  <si>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</si>
  <si>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</si>
  <si>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</si>
  <si>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</si>
  <si>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</si>
  <si>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</si>
  <si>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</si>
  <si>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</si>
  <si>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</si>
  <si>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</si>
  <si>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</si>
  <si>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</si>
  <si>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</si>
  <si>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</si>
  <si>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</si>
  <si>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</si>
  <si>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</si>
  <si>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</si>
  <si>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</si>
  <si>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</si>
  <si>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</si>
  <si>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</si>
  <si>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</si>
  <si>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</si>
  <si>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</si>
  <si>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</si>
  <si>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</si>
  <si>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</si>
  <si>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</si>
  <si>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</si>
  <si>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</si>
  <si>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</si>
  <si>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</si>
  <si>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</si>
  <si>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</si>
  <si>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</si>
  <si>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</si>
  <si>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</si>
  <si>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</si>
  <si>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</si>
  <si>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</si>
  <si>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</si>
  <si>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</si>
  <si>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</si>
  <si>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</si>
  <si>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</si>
  <si>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</si>
  <si>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</si>
  <si>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</si>
  <si>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</si>
  <si>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</si>
  <si>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</si>
  <si>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</si>
  <si>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</si>
  <si>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</si>
  <si>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</si>
  <si>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</si>
  <si>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</si>
  <si>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</si>
  <si>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</si>
  <si>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</si>
  <si>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</si>
  <si>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</si>
  <si>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</si>
  <si>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</si>
  <si>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</si>
  <si>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</si>
  <si>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</si>
  <si>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</si>
  <si>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</si>
  <si>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</si>
  <si>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</si>
  <si>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</si>
  <si>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</si>
  <si>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</si>
  <si>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</si>
  <si>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</si>
  <si>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</si>
  <si>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</si>
  <si>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</si>
  <si>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</si>
  <si>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</si>
  <si>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</si>
  <si>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</si>
  <si>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</si>
  <si>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</si>
  <si>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</si>
  <si>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</si>
  <si>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</si>
  <si>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</si>
  <si>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</si>
  <si>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</si>
  <si>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</si>
  <si>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</si>
  <si>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</si>
  <si>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</si>
  <si>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</si>
  <si>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</si>
  <si>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</si>
  <si>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</si>
  <si>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</si>
  <si>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</si>
  <si>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</si>
  <si>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</si>
  <si>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</si>
  <si>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</si>
  <si>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</si>
  <si>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</si>
  <si>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</si>
  <si>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</si>
  <si>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</si>
  <si>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</si>
  <si>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</si>
  <si>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</si>
  <si>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</si>
  <si>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F82LE</t>
  </si>
  <si>
    <t>F84LE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</si>
</sst>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1</xdr:col>
          <xdr:colOff>68580</xdr:colOff>
          <xdr:row>1</xdr:row>
          <xdr:rowOff>182880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563880</xdr:colOff>
          <xdr:row>0</xdr:row>
          <xdr:rowOff>800100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99060</xdr:colOff>
          <xdr:row>0</xdr:row>
          <xdr:rowOff>678180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2"/>
  <sheetViews>
    <sheetView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 t="s">
        <v>665</v>
      </c>
      <c r="I1" s="194"/>
      <c r="J1" s="185" t="s">
        <v>41</v>
      </c>
      <c r="K1" s="239" t="str">
        <f>IFERROR(VLOOKUP(H1, A55:C62,3, FALSE), "")</f>
        <v/>
      </c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8" t="s">
        <v>315</v>
      </c>
      <c r="H3" s="419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 t="str">
        <f>IFERROR(VLOOKUP(H1, A55:C62,2, FALSE), "")</f>
        <v/>
      </c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20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21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  <row r="54" spans="1:3" x14ac:dyDescent="0.4">
      <c r="A54" s="201" t="s">
        <v>728</v>
      </c>
    </row>
    <row r="55" spans="1:3" x14ac:dyDescent="0.4">
      <c r="A55"/>
      <c r="B55"/>
      <c r="C55"/>
    </row>
    <row r="56" spans="1:3" x14ac:dyDescent="0.4">
      <c r="A56" t="s">
        <v>707</v>
      </c>
      <c r="B56" t="s">
        <v>708</v>
      </c>
      <c r="C56" t="s">
        <v>709</v>
      </c>
    </row>
    <row r="57" spans="1:3" x14ac:dyDescent="0.4">
      <c r="A57" t="s">
        <v>710</v>
      </c>
      <c r="B57" t="s">
        <v>711</v>
      </c>
      <c r="C57" t="s">
        <v>712</v>
      </c>
    </row>
    <row r="58" spans="1:3" x14ac:dyDescent="0.4">
      <c r="A58" t="s">
        <v>713</v>
      </c>
      <c r="B58" t="s">
        <v>714</v>
      </c>
      <c r="C58" t="s">
        <v>715</v>
      </c>
    </row>
    <row r="59" spans="1:3" x14ac:dyDescent="0.4">
      <c r="A59" t="s">
        <v>716</v>
      </c>
      <c r="B59" t="s">
        <v>717</v>
      </c>
      <c r="C59" t="s">
        <v>718</v>
      </c>
    </row>
    <row r="60" spans="1:3" x14ac:dyDescent="0.4">
      <c r="A60" t="s">
        <v>719</v>
      </c>
      <c r="B60" t="s">
        <v>720</v>
      </c>
      <c r="C60" t="s">
        <v>721</v>
      </c>
    </row>
    <row r="61" spans="1:3" x14ac:dyDescent="0.4">
      <c r="A61" t="s">
        <v>722</v>
      </c>
      <c r="B61" t="s">
        <v>723</v>
      </c>
      <c r="C61" t="s">
        <v>724</v>
      </c>
    </row>
    <row r="62" spans="1:3" x14ac:dyDescent="0.4">
      <c r="A62" t="s">
        <v>725</v>
      </c>
      <c r="B62" t="s">
        <v>726</v>
      </c>
      <c r="C62" t="s">
        <v>727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1</xdr:col>
                <xdr:colOff>68580</xdr:colOff>
                <xdr:row>1</xdr:row>
                <xdr:rowOff>182880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303</v>
      </c>
      <c r="B1" s="422"/>
      <c r="C1" s="422"/>
      <c r="D1" s="423" t="s">
        <v>304</v>
      </c>
      <c r="E1" s="424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disablePrompts="1"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24" s="3" customFormat="1" ht="48.75" customHeight="1" x14ac:dyDescent="0.4">
      <c r="A2" s="425" t="s">
        <v>7</v>
      </c>
      <c r="B2" s="67" t="s">
        <v>4</v>
      </c>
      <c r="C2" s="278"/>
      <c r="D2" s="371" t="s">
        <v>665</v>
      </c>
      <c r="E2" s="279"/>
      <c r="F2" s="279"/>
      <c r="G2" s="280"/>
      <c r="H2" s="365"/>
      <c r="I2" s="365"/>
      <c r="J2" s="366"/>
      <c r="K2" s="281"/>
      <c r="L2" s="281"/>
      <c r="M2" s="282"/>
      <c r="S2" s="2"/>
      <c r="U2" s="2"/>
      <c r="V2" s="2"/>
      <c r="W2" s="2"/>
    </row>
    <row r="3" spans="1:24" s="3" customFormat="1" ht="48.75" customHeight="1" x14ac:dyDescent="0.4">
      <c r="A3" s="425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  <c r="S3" s="2" t="s">
        <v>668</v>
      </c>
      <c r="U3" s="2" t="s">
        <v>681</v>
      </c>
      <c r="V3" s="2" t="s">
        <v>687</v>
      </c>
      <c r="W3" s="2" t="s">
        <v>692</v>
      </c>
      <c r="X3" s="3" t="s">
        <v>666</v>
      </c>
    </row>
    <row r="4" spans="1:24" s="3" customFormat="1" ht="48.75" customHeight="1" x14ac:dyDescent="0.4">
      <c r="A4" s="425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  <c r="S4" s="2" t="s">
        <v>669</v>
      </c>
      <c r="U4" s="2" t="s">
        <v>682</v>
      </c>
      <c r="V4" s="2" t="s">
        <v>688</v>
      </c>
      <c r="W4" s="2" t="s">
        <v>693</v>
      </c>
      <c r="X4" s="3" t="s">
        <v>667</v>
      </c>
    </row>
    <row r="5" spans="1:24" s="3" customFormat="1" ht="48.75" customHeight="1" x14ac:dyDescent="0.4">
      <c r="A5" s="425"/>
      <c r="B5" s="60" t="s">
        <v>8</v>
      </c>
      <c r="C5" s="283"/>
      <c r="D5" s="372" t="s">
        <v>665</v>
      </c>
      <c r="E5" s="284"/>
      <c r="F5" s="284"/>
      <c r="G5" s="285"/>
      <c r="H5" s="367"/>
      <c r="I5" s="367"/>
      <c r="J5" s="368"/>
      <c r="K5" s="286"/>
      <c r="L5" s="281"/>
      <c r="M5" s="287"/>
      <c r="S5" s="2" t="s">
        <v>670</v>
      </c>
      <c r="U5" s="2" t="s">
        <v>683</v>
      </c>
      <c r="V5" s="2" t="s">
        <v>689</v>
      </c>
      <c r="W5" s="2" t="s">
        <v>694</v>
      </c>
    </row>
    <row r="6" spans="1:24" s="3" customFormat="1" ht="48.75" customHeight="1" x14ac:dyDescent="0.4">
      <c r="A6" s="425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  <c r="S6" s="2" t="s">
        <v>671</v>
      </c>
      <c r="U6" s="2" t="s">
        <v>684</v>
      </c>
      <c r="V6" s="2" t="s">
        <v>690</v>
      </c>
      <c r="W6" s="2" t="s">
        <v>695</v>
      </c>
    </row>
    <row r="7" spans="1:24" s="3" customFormat="1" ht="48.75" customHeight="1" x14ac:dyDescent="0.4">
      <c r="A7" s="425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  <c r="S7" s="2" t="s">
        <v>672</v>
      </c>
      <c r="U7" s="2" t="s">
        <v>685</v>
      </c>
      <c r="V7" s="2" t="s">
        <v>691</v>
      </c>
      <c r="W7" s="3" t="s">
        <v>701</v>
      </c>
    </row>
    <row r="8" spans="1:24" s="3" customFormat="1" ht="48.75" customHeight="1" x14ac:dyDescent="0.4">
      <c r="A8" s="425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  <c r="S8" s="2" t="s">
        <v>673</v>
      </c>
      <c r="U8" s="2" t="s">
        <v>706</v>
      </c>
      <c r="V8" s="3" t="s">
        <v>704</v>
      </c>
      <c r="W8" s="3" t="s">
        <v>702</v>
      </c>
    </row>
    <row r="9" spans="1:24" s="3" customFormat="1" ht="48.75" customHeight="1" x14ac:dyDescent="0.4">
      <c r="A9" s="425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  <c r="S9" s="2" t="s">
        <v>674</v>
      </c>
      <c r="U9" s="2" t="s">
        <v>686</v>
      </c>
      <c r="V9" s="3" t="s">
        <v>705</v>
      </c>
      <c r="W9" s="3" t="s">
        <v>703</v>
      </c>
    </row>
    <row r="10" spans="1:24" s="2" customFormat="1" ht="48.75" customHeight="1" x14ac:dyDescent="0.4">
      <c r="A10" s="425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  <c r="S10" s="2" t="s">
        <v>675</v>
      </c>
    </row>
    <row r="11" spans="1:24" s="2" customFormat="1" ht="48.75" customHeight="1" thickBot="1" x14ac:dyDescent="0.45">
      <c r="A11" s="426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  <c r="S11" s="2" t="s">
        <v>676</v>
      </c>
    </row>
    <row r="12" spans="1:24" x14ac:dyDescent="0.3">
      <c r="S12" s="2" t="s">
        <v>677</v>
      </c>
    </row>
    <row r="13" spans="1:24" x14ac:dyDescent="0.3">
      <c r="S13" s="2" t="s">
        <v>678</v>
      </c>
    </row>
    <row r="14" spans="1:24" x14ac:dyDescent="0.3">
      <c r="S14" s="2" t="s">
        <v>679</v>
      </c>
    </row>
    <row r="15" spans="1:24" x14ac:dyDescent="0.3">
      <c r="S15" s="2" t="s">
        <v>680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563880</xdr:colOff>
                <xdr:row>0</xdr:row>
                <xdr:rowOff>800100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55" zoomScaleNormal="100" zoomScaleSheetLayoutView="55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40" s="2" customFormat="1" ht="39" customHeight="1" thickBot="1" x14ac:dyDescent="0.5">
      <c r="A2" s="427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 t="s">
        <v>665</v>
      </c>
      <c r="S2" s="389"/>
    </row>
    <row r="3" spans="1:40" s="2" customFormat="1" ht="39" customHeight="1" thickBot="1" x14ac:dyDescent="0.5">
      <c r="A3" s="428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Z3" s="2" t="s">
        <v>632</v>
      </c>
      <c r="AA3" s="2" t="s">
        <v>681</v>
      </c>
      <c r="AC3" s="2" t="s">
        <v>668</v>
      </c>
      <c r="AE3" s="2" t="s">
        <v>623</v>
      </c>
      <c r="AG3" s="2" t="s">
        <v>687</v>
      </c>
      <c r="AI3" s="2" t="s">
        <v>666</v>
      </c>
      <c r="AJ3" s="2" t="s">
        <v>609</v>
      </c>
      <c r="AL3" s="2" t="s">
        <v>612</v>
      </c>
      <c r="AN3" s="2" t="s">
        <v>692</v>
      </c>
    </row>
    <row r="4" spans="1:40" s="2" customFormat="1" ht="39" customHeight="1" thickBot="1" x14ac:dyDescent="0.5">
      <c r="A4" s="428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Z4" s="2" t="s">
        <v>575</v>
      </c>
      <c r="AA4" s="2" t="s">
        <v>682</v>
      </c>
      <c r="AC4" s="2" t="s">
        <v>669</v>
      </c>
      <c r="AE4" s="2" t="s">
        <v>307</v>
      </c>
      <c r="AG4" s="2" t="s">
        <v>688</v>
      </c>
      <c r="AI4" s="2" t="s">
        <v>667</v>
      </c>
      <c r="AJ4" s="2" t="s">
        <v>610</v>
      </c>
      <c r="AL4" s="2" t="s">
        <v>613</v>
      </c>
      <c r="AN4" s="2" t="s">
        <v>693</v>
      </c>
    </row>
    <row r="5" spans="1:40" s="2" customFormat="1" ht="39" customHeight="1" thickBot="1" x14ac:dyDescent="0.5">
      <c r="A5" s="428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Z5" s="2" t="s">
        <v>696</v>
      </c>
      <c r="AA5" s="2" t="s">
        <v>683</v>
      </c>
      <c r="AC5" s="2" t="s">
        <v>670</v>
      </c>
      <c r="AE5" s="2" t="s">
        <v>620</v>
      </c>
      <c r="AG5" s="2" t="s">
        <v>689</v>
      </c>
      <c r="AL5" s="2" t="s">
        <v>614</v>
      </c>
      <c r="AN5" s="2" t="s">
        <v>694</v>
      </c>
    </row>
    <row r="6" spans="1:40" s="2" customFormat="1" ht="39" customHeight="1" thickBot="1" x14ac:dyDescent="0.5">
      <c r="A6" s="428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Z6" s="2" t="s">
        <v>697</v>
      </c>
      <c r="AA6" s="2" t="s">
        <v>684</v>
      </c>
      <c r="AC6" s="2" t="s">
        <v>671</v>
      </c>
      <c r="AE6" s="2" t="s">
        <v>621</v>
      </c>
      <c r="AG6" s="2" t="s">
        <v>690</v>
      </c>
      <c r="AL6" s="2" t="s">
        <v>615</v>
      </c>
      <c r="AN6" s="2" t="s">
        <v>695</v>
      </c>
    </row>
    <row r="7" spans="1:40" s="2" customFormat="1" ht="39" customHeight="1" thickBot="1" x14ac:dyDescent="0.5">
      <c r="A7" s="428"/>
      <c r="B7" s="377"/>
      <c r="C7" s="377"/>
      <c r="D7" s="256"/>
      <c r="E7" s="382" t="s">
        <v>665</v>
      </c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Z7" s="2" t="s">
        <v>698</v>
      </c>
      <c r="AA7" s="2" t="s">
        <v>685</v>
      </c>
      <c r="AC7" s="2" t="s">
        <v>672</v>
      </c>
      <c r="AE7" s="2" t="s">
        <v>622</v>
      </c>
      <c r="AG7" s="2" t="s">
        <v>691</v>
      </c>
      <c r="AL7" s="2" t="s">
        <v>616</v>
      </c>
    </row>
    <row r="8" spans="1:40" s="2" customFormat="1" ht="39" customHeight="1" thickBot="1" x14ac:dyDescent="0.5">
      <c r="A8" s="428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Z8" s="2" t="s">
        <v>699</v>
      </c>
      <c r="AA8" s="2" t="s">
        <v>706</v>
      </c>
      <c r="AC8" s="2" t="s">
        <v>673</v>
      </c>
      <c r="AL8" s="2" t="s">
        <v>617</v>
      </c>
    </row>
    <row r="9" spans="1:40" s="2" customFormat="1" ht="39" customHeight="1" thickBot="1" x14ac:dyDescent="0.5">
      <c r="A9" s="428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Z9" s="2" t="s">
        <v>700</v>
      </c>
      <c r="AA9" s="2" t="s">
        <v>686</v>
      </c>
      <c r="AC9" s="2" t="s">
        <v>674</v>
      </c>
      <c r="AL9" s="2" t="s">
        <v>618</v>
      </c>
    </row>
    <row r="10" spans="1:40" s="2" customFormat="1" ht="39" customHeight="1" thickBot="1" x14ac:dyDescent="0.5">
      <c r="A10" s="428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C10" s="2" t="s">
        <v>675</v>
      </c>
      <c r="AL10" s="2" t="s">
        <v>619</v>
      </c>
    </row>
    <row r="11" spans="1:40" s="2" customFormat="1" ht="39" customHeight="1" thickBot="1" x14ac:dyDescent="0.5">
      <c r="A11" s="428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  <c r="AC11" s="2" t="s">
        <v>676</v>
      </c>
    </row>
    <row r="12" spans="1:40" s="2" customFormat="1" ht="39" customHeight="1" thickBot="1" x14ac:dyDescent="0.5">
      <c r="A12" s="428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  <c r="AC12" s="2" t="s">
        <v>677</v>
      </c>
    </row>
    <row r="13" spans="1:40" s="2" customFormat="1" ht="39" customHeight="1" thickBot="1" x14ac:dyDescent="0.5">
      <c r="A13" s="428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  <c r="AC13" s="2" t="s">
        <v>678</v>
      </c>
    </row>
    <row r="14" spans="1:40" s="2" customFormat="1" ht="39" customHeight="1" thickBot="1" x14ac:dyDescent="0.5">
      <c r="A14" s="429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  <c r="AC14" s="2" t="s">
        <v>679</v>
      </c>
    </row>
    <row r="15" spans="1:40" s="2" customFormat="1" ht="39" customHeight="1" thickBot="1" x14ac:dyDescent="0.5">
      <c r="A15" s="430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  <c r="AC15" s="2" t="s">
        <v>680</v>
      </c>
    </row>
    <row r="16" spans="1:40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99060</xdr:colOff>
                <xdr:row>0</xdr:row>
                <xdr:rowOff>678180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abSelected="1" topLeftCell="A7" zoomScaleNormal="100" workbookViewId="0">
      <selection activeCell="A27" sqref="A27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416" t="s">
        <v>730</v>
      </c>
      <c r="H16" s="416" t="s">
        <v>729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417" t="s">
        <v>730</v>
      </c>
      <c r="H17" s="417" t="s">
        <v>729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417" t="s">
        <v>730</v>
      </c>
      <c r="H18" s="417" t="s">
        <v>729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417" t="s">
        <v>730</v>
      </c>
      <c r="H23" s="417" t="s">
        <v>729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s">
        <v>731</v>
      </c>
      <c r="D26" s="37" t="s">
        <v>443</v>
      </c>
      <c r="E26" s="37" t="s">
        <v>452</v>
      </c>
      <c r="F26" s="37" t="s">
        <v>446</v>
      </c>
      <c r="G26" s="37" t="s">
        <v>474</v>
      </c>
      <c r="H26" s="37" t="s">
        <v>475</v>
      </c>
      <c r="I26" s="37" t="s">
        <v>449</v>
      </c>
      <c r="J26" s="311" t="s">
        <v>455</v>
      </c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s">
        <v>732</v>
      </c>
      <c r="D27" s="37" t="s">
        <v>443</v>
      </c>
      <c r="E27" s="37" t="s">
        <v>457</v>
      </c>
      <c r="F27" s="37" t="s">
        <v>446</v>
      </c>
      <c r="G27" s="37" t="s">
        <v>474</v>
      </c>
      <c r="H27" s="37" t="s">
        <v>475</v>
      </c>
      <c r="I27" s="37" t="s">
        <v>449</v>
      </c>
      <c r="J27" s="311" t="s">
        <v>455</v>
      </c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>
      <selection activeCell="N5" sqref="N5"/>
    </sheetView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F28" sqref="F28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75" zoomScaleNormal="100" zoomScaleSheetLayoutView="75" zoomScalePageLayoutView="55" workbookViewId="0">
      <selection activeCell="E6" sqref="E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A36" sqref="A36:XFD36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20" customFormat="1" ht="29.25" customHeight="1" thickBot="1" x14ac:dyDescent="0.4">
      <c r="A1" s="431"/>
      <c r="B1" s="432"/>
      <c r="D1" s="168"/>
      <c r="E1" s="167"/>
    </row>
    <row r="2" spans="1:5" s="20" customFormat="1" ht="37.5" customHeight="1" x14ac:dyDescent="0.35">
      <c r="A2" s="165"/>
      <c r="B2" s="166" t="s">
        <v>58</v>
      </c>
      <c r="D2" s="168"/>
      <c r="E2" s="167"/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50" t="s">
        <v>34</v>
      </c>
      <c r="B1" s="451"/>
      <c r="C1" s="19"/>
      <c r="D1" s="172"/>
      <c r="E1" s="167"/>
      <c r="I1" s="166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20" customFormat="1" ht="35.25" customHeight="1" x14ac:dyDescent="0.35">
      <c r="A2" s="165"/>
      <c r="B2" s="166" t="s">
        <v>19</v>
      </c>
      <c r="C2" s="19"/>
      <c r="D2" s="168"/>
      <c r="E2" s="167"/>
      <c r="I2" s="168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20" customFormat="1" ht="35.25" customHeight="1" x14ac:dyDescent="0.35">
      <c r="A3" s="167"/>
      <c r="B3" s="168" t="s">
        <v>20</v>
      </c>
      <c r="C3" s="19"/>
      <c r="D3" s="179"/>
      <c r="E3" s="167"/>
      <c r="I3" s="172" t="s">
        <v>187</v>
      </c>
      <c r="J3" s="444" t="s">
        <v>634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7" t="s">
        <v>21</v>
      </c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8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7" t="s">
        <v>22</v>
      </c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8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42" t="s">
        <v>635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4" t="s">
        <v>636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36" t="s">
        <v>637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8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36" t="s">
        <v>638</v>
      </c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8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33" t="s">
        <v>639</v>
      </c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5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33" t="s">
        <v>640</v>
      </c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5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33" t="s">
        <v>641</v>
      </c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5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36" t="s">
        <v>642</v>
      </c>
      <c r="K13" s="437"/>
      <c r="L13" s="437"/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8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33" t="s">
        <v>643</v>
      </c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5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39" t="s">
        <v>644</v>
      </c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1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36" t="s">
        <v>645</v>
      </c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8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36" t="s">
        <v>646</v>
      </c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8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39" t="s">
        <v>647</v>
      </c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1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36" t="s">
        <v>648</v>
      </c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8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31" t="s">
        <v>56</v>
      </c>
      <c r="B22" s="432"/>
      <c r="D22" s="21"/>
    </row>
    <row r="23" spans="1:23" s="17" customFormat="1" ht="29.25" customHeight="1" x14ac:dyDescent="0.3">
      <c r="A23" s="452"/>
      <c r="B23" s="453"/>
      <c r="D23" s="18"/>
    </row>
    <row r="24" spans="1:23" s="17" customFormat="1" ht="29.25" customHeight="1" x14ac:dyDescent="0.3">
      <c r="A24" s="454"/>
      <c r="B24" s="455"/>
      <c r="D24" s="18"/>
    </row>
    <row r="25" spans="1:23" s="17" customFormat="1" ht="29.25" customHeight="1" x14ac:dyDescent="0.3">
      <c r="A25" s="454"/>
      <c r="B25" s="455"/>
      <c r="D25" s="18"/>
    </row>
    <row r="26" spans="1:23" s="17" customFormat="1" ht="29.25" customHeight="1" x14ac:dyDescent="0.3">
      <c r="A26" s="454"/>
      <c r="B26" s="455"/>
      <c r="D26" s="18"/>
    </row>
    <row r="27" spans="1:23" s="17" customFormat="1" ht="29.25" customHeight="1" thickBot="1" x14ac:dyDescent="0.35">
      <c r="A27" s="448"/>
      <c r="B27" s="449"/>
      <c r="D27" s="18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2012-10-29T20:42:56Z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