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15360" windowHeight="7800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K71" i="18" l="1"/>
  <c r="K32" i="18"/>
  <c r="K31" i="18"/>
  <c r="M18" i="12" l="1"/>
  <c r="M17" i="12"/>
  <c r="M14" i="12"/>
  <c r="M15" i="12"/>
  <c r="M16" i="12"/>
  <c r="M13" i="12"/>
  <c r="M12" i="12"/>
  <c r="M11" i="12"/>
  <c r="M10" i="12"/>
  <c r="M9" i="12"/>
  <c r="M8" i="12"/>
  <c r="M7" i="12"/>
  <c r="M6" i="12"/>
  <c r="M5" i="12"/>
  <c r="M4" i="12"/>
  <c r="M3" i="12"/>
  <c r="M2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<sst xmlns="http://schemas.openxmlformats.org/spreadsheetml/2006/main" count="1210" uniqueCount="748">
  <si>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</si>
  <si>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</si>
  <si>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</si>
  <si>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</si>
  <si>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</si>
  <si>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</si>
  <si>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</si>
  <si>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</si>
  <si>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</si>
  <si>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</si>
  <si>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</si>
  <si>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</si>
  <si>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</si>
  <si>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</si>
  <si>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</si>
  <si>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</si>
  <si>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</si>
  <si>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</si>
  <si>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</si>
  <si>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</si>
  <si>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</si>
  <si>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</si>
  <si>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</si>
  <si>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</si>
  <si>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</si>
  <si>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</si>
  <si>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</si>
  <si>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</si>
  <si>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</si>
  <si>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</si>
  <si>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</si>
  <si>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</si>
  <si>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</si>
  <si>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</si>
  <si>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</si>
  <si>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</si>
  <si>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</si>
  <si>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</si>
  <si>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</si>
  <si>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</si>
  <si>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</si>
  <si>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</si>
  <si>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</si>
  <si>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</si>
  <si>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</si>
  <si>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</si>
  <si>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</si>
  <si>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</si>
  <si>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</si>
  <si>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</si>
  <si>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</si>
  <si>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</si>
  <si>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</si>
  <si>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</si>
  <si>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</si>
  <si>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</si>
  <si>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</si>
  <si>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</si>
  <si>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</si>
  <si>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</si>
  <si>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</si>
  <si>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</si>
  <si>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</si>
  <si>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</si>
  <si>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</si>
  <si>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</si>
  <si>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</si>
  <si>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</si>
  <si>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</si>
  <si>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</si>
  <si>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</si>
  <si>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</si>
  <si>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</si>
  <si>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</si>
  <si>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</si>
  <si>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</si>
  <si>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</si>
  <si>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</si>
  <si>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</si>
  <si>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</si>
  <si>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</si>
  <si>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</si>
  <si>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</si>
  <si>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</si>
  <si>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</si>
  <si>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</si>
  <si>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</si>
  <si>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</si>
  <si>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</si>
  <si>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</si>
  <si>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</si>
  <si>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</si>
  <si>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</si>
  <si>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</si>
  <si>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</si>
  <si>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</si>
  <si>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</si>
  <si>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</si>
  <si>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</si>
  <si>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</si>
  <si>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</si>
  <si>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</si>
  <si>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</si>
  <si>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</si>
  <si>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</si>
  <si>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</si>
  <si>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</si>
  <si>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</si>
  <si>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</si>
  <si>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</si>
  <si>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</si>
  <si>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</si>
  <si>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</si>
  <si>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</si>
  <si>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</si>
  <si>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</si>
  <si>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</si>
  <si>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</si>
  <si>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</si>
  <si>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</si>
  <si>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</si>
  <si>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</si>
  <si>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</si>
  <si>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</si>
  <si>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</si>
  <si>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</si>
  <si>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</si>
  <si>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</si>
  <si>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</si>
  <si>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</si>
  <si>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</si>
  <si>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</si>
  <si>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</si>
  <si>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</si>
  <si>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</si>
  <si>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</si>
  <si>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</si>
  <si>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</si>
  <si>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</si>
  <si>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</si>
  <si>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</si>
  <si>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</si>
  <si>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</si>
  <si>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</si>
  <si>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</si>
  <si>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</si>
  <si>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</si>
  <si>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</si>
  <si>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</si>
  <si>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</si>
  <si>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</si>
  <si>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</si>
  <si>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</si>
  <si>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</si>
  <si>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</si>
  <si>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</si>
  <si>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</si>
  <si>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</si>
  <si>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</si>
  <si>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</si>
  <si>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</si>
  <si>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</si>
  <si>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</si>
  <si>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</si>
  <si>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</si>
  <si>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</si>
  <si>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</si>
  <si>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</si>
  <si>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</si>
  <si>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</si>
  <si>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</si>
  <si>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</si>
  <si>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</si>
  <si>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</si>
  <si>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</si>
  <si>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</si>
  <si>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</si>
  <si>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</si>
  <si>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</si>
  <si>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</si>
  <si>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</si>
  <si>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</si>
  <si>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</si>
  <si>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</si>
  <si>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</si>
  <si>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</si>
  <si>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</si>
  <si>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</si>
  <si>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</si>
  <si>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</si>
  <si>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</si>
  <si>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</si>
  <si>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</si>
  <si>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</si>
  <si>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</si>
  <si>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</si>
  <si>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</si>
  <si>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</si>
  <si>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</si>
  <si>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</si>
  <si>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</si>
  <si>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</si>
  <si>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</si>
  <si>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</si>
  <si>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</si>
  <si>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</si>
  <si>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</si>
  <si>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</si>
  <si>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</si>
  <si>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</si>
  <si>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</si>
  <si>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</si>
  <si>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</si>
  <si>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</si>
  <si>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</si>
  <si>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</si>
  <si>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</si>
  <si>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</si>
  <si>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</si>
  <si>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</si>
  <si>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</si>
  <si>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</si>
  <si>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</si>
  <si>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</si>
  <si>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</si>
  <si>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</si>
  <si>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</si>
  <si>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</si>
  <si>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</si>
  <si>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</si>
  <si>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</si>
  <si>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</si>
  <si>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</si>
  <si>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</si>
  <si>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</si>
  <si>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</si>
  <si>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</si>
  <si>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</si>
  <si>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</si>
  <si>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</si>
  <si>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</si>
  <si>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</si>
  <si>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</si>
  <si>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</si>
  <si>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</si>
  <si>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</si>
  <si>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</si>
  <si>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</si>
  <si>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</si>
  <si>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</si>
  <si>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</si>
  <si>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</si>
  <si>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</si>
  <si>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</si>
  <si>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</si>
  <si>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</si>
  <si>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</si>
  <si>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</si>
  <si>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</si>
  <si>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</si>
  <si>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</si>
  <si>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</si>
  <si>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</si>
  <si>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</si>
  <si>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</si>
  <si>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</si>
  <si>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</si>
  <si>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</si>
  <si>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</si>
  <si>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</si>
  <si>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</si>
  <si>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</si>
  <si>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</si>
  <si>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</si>
  <si>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</si>
  <si>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</si>
  <si>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</si>
  <si>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</si>
  <si>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</si>
  <si>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</si>
  <si>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</si>
  <si>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</si>
  <si>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</si>
  <si>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</si>
  <si>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</si>
  <si>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</si>
  <si>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</si>
  <si>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</si>
  <si>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</si>
  <si>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</si>
  <si>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</si>
  <si>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</si>
  <si>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</si>
  <si>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</si>
  <si>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</si>
  <si>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</si>
  <si>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</si>
  <si>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</si>
  <si>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</si>
  <si>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</si>
  <si>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</si>
  <si>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</si>
  <si>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</si>
  <si>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</si>
  <si>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</si>
  <si>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</si>
  <si>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</si>
  <si>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</si>
  <si>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</si>
  <si>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</si>
  <si>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</si>
  <si>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</si>
  <si>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</si>
  <si>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</si>
  <si>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</si>
  <si>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</si>
  <si>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</si>
  <si>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</si>
  <si>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</si>
  <si>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</si>
  <si>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</si>
  <si>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</si>
  <si>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</si>
  <si>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</si>
  <si>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</si>
  <si>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</si>
  <si>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</si>
  <si>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</si>
  <si>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</si>
  <si>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</si>
  <si>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</si>
  <si>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</si>
  <si>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</si>
  <si>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</si>
  <si>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</si>
  <si>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</si>
  <si>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</si>
  <si>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</si>
  <si>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</si>
  <si>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</si>
  <si>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</si>
  <si>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</si>
  <si>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</si>
  <si>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</si>
  <si>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</si>
  <si>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</si>
  <si>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</si>
  <si>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</si>
  <si>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</si>
  <si>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</si>
  <si>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</si>
  <si>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</si>
  <si>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</si>
  <si>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</si>
  <si>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</si>
  <si>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</si>
  <si>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</si>
  <si>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</si>
  <si>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</si>
  <si>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</si>
  <si>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</si>
  <si>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</si>
  <si>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</si>
  <si>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</si>
  <si>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</si>
  <si>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</si>
  <si>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</si>
  <si>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</si>
  <si>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</si>
  <si>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</si>
  <si>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</si>
  <si>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</si>
  <si>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</si>
  <si>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</si>
  <si>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</si>
  <si>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</si>
  <si>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</si>
  <si>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</si>
  <si>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</si>
  <si>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</si>
  <si>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</si>
  <si>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</si>
  <si>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</si>
  <si>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</si>
  <si>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</si>
  <si>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</si>
  <si>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</si>
  <si>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</si>
  <si>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</si>
  <si>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</si>
  <si>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</si>
  <si>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</si>
  <si>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</si>
  <si>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</si>
  <si>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</si>
  <si>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</si>
  <si>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</si>
  <si>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</si>
  <si>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</si>
  <si>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</si>
  <si>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</si>
  <si>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</si>
  <si>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</si>
  <si>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</si>
  <si>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</si>
  <si>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</si>
  <si>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</si>
  <si>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</si>
  <si>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</si>
  <si>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</si>
  <si>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</si>
  <si>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</si>
  <si>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</si>
  <si>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</si>
  <si>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</si>
  <si>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</si>
  <si>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</si>
  <si>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</si>
  <si>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</si>
  <si>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</si>
  <si>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</si>
  <si>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</si>
  <si>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</si>
  <si>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</si>
  <si>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</si>
  <si>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</si>
  <si>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</si>
  <si>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</si>
  <si>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</si>
  <si>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</si>
  <si>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</si>
  <si>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</si>
  <si>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</si>
  <si>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</si>
  <si>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</si>
  <si>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</si>
  <si>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</si>
  <si>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</si>
  <si>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</si>
  <si>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</si>
  <si>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</si>
  <si>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</si>
  <si>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</si>
  <si>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</si>
  <si>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</si>
  <si>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</si>
  <si>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</si>
  <si>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</si>
  <si>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</si>
  <si>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</si>
  <si>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</si>
  <si>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</si>
  <si>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</si>
  <si>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</si>
  <si>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</si>
  <si>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</si>
  <si>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</si>
  <si>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</si>
  <si>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</si>
  <si>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</si>
  <si>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</si>
  <si>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</si>
  <si>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</si>
  <si>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</si>
  <si>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</si>
  <si>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</si>
  <si>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</si>
  <si>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</si>
  <si>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</si>
  <si>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</si>
  <si>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</si>
  <si>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</si>
  <si>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</si>
  <si>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</si>
  <si>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</si>
  <si>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</si>
  <si>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</si>
  <si>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</si>
  <si>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</si>
  <si>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</si>
  <si>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</si>
  <si>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</si>
  <si>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</si>
  <si>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</si>
  <si>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</si>
  <si>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</si>
  <si>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</si>
  <si>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</si>
  <si>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</si>
  <si>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</si>
  <si>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</si>
  <si>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</si>
  <si>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</si>
  <si>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</si>
  <si>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</si>
  <si>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</si>
  <si>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</si>
  <si>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</si>
  <si>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</si>
  <si>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</si>
  <si>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</si>
  <si>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</si>
  <si>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</si>
  <si>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</si>
  <si>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</si>
  <si>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</si>
  <si>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</si>
  <si>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</si>
  <si>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</si>
  <si>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</si>
  <si>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</si>
  <si>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</si>
  <si>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</si>
  <si>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</si>
  <si>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</si>
  <si>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</si>
  <si>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</si>
  <si>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</si>
  <si>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</si>
  <si>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</si>
  <si>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</si>
  <si>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</si>
  <si>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</si>
  <si>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</si>
  <si>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</si>
  <si>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</si>
  <si>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</si>
  <si>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</si>
  <si>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</si>
  <si>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</si>
  <si>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</si>
  <si>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</si>
  <si>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</si>
  <si>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</si>
  <si>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</si>
  <si>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</si>
  <si>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</si>
  <si>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</si>
  <si>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</si>
  <si>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</si>
  <si>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</si>
  <si>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</si>
  <si>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</si>
  <si>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</si>
  <si>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</si>
  <si>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</si>
  <si>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</si>
  <si>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</si>
  <si>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</si>
  <si>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</si>
  <si>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</si>
  <si>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</si>
  <si>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</si>
  <si>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</si>
  <si>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</si>
  <si>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</si>
  <si>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</si>
  <si>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</si>
  <si>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</si>
  <si>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</si>
  <si>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</si>
  <si>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</si>
  <si>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</si>
  <si>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</si>
  <si>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</si>
  <si>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</si>
  <si>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</si>
  <si>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</si>
  <si>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</si>
  <si>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</si>
  <si>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</si>
  <si>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</si>
  <si>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</si>
  <si>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</si>
  <si>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</si>
  <si>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</si>
  <si>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</si>
  <si>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</si>
  <si>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</si>
  <si>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</si>
  <si>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</si>
  <si>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</si>
  <si>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</si>
  <si>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</si>
  <si>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</si>
  <si>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</si>
  <si>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</si>
  <si>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</si>
  <si>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</si>
  <si>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</si>
  <si>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</si>
  <si>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</si>
  <si>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</si>
  <si>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</si>
  <si>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</si>
  <si>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</si>
  <si>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</si>
  <si>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</si>
  <si>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</si>
  <si>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</si>
  <si>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</si>
  <si>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</si>
  <si>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</si>
  <si>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</si>
  <si>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</si>
  <si>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</si>
  <si>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</si>
  <si>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</si>
  <si>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</si>
  <si>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</si>
  <si>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</si>
  <si>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</si>
  <si>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</si>
  <si>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</si>
  <si>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</si>
  <si>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</si>
  <si>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</si>
  <si>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</si>
  <si>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</si>
  <si>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</si>
  <si>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</si>
  <si>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</si>
  <si>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</si>
  <si>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</si>
  <si>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</si>
  <si>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</si>
  <si>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</si>
  <si>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</si>
  <si>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</si>
  <si>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</si>
  <si>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</si>
  <si>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</si>
  <si>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</si>
  <si>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</si>
  <si>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</si>
  <si>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</si>
  <si>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</si>
  <si>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</si>
  <si>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</si>
  <si>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</si>
  <si>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</si>
  <si>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</si>
  <si>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</si>
  <si>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</si>
  <si>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</si>
  <si>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</si>
  <si>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</si>
  <si>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</si>
  <si>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</si>
  <si>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</si>
  <si>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</si>
  <si>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</si>
  <si>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</si>
  <si>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</si>
  <si>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</si>
  <si>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</si>
  <si>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</si>
  <si>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</si>
  <si>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</si>
  <si>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</si>
  <si>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</si>
  <si>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</si>
  <si>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</si>
  <si>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</si>
  <si>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</si>
  <si>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</si>
  <si>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</si>
  <si>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</si>
  <si>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</si>
  <si>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</si>
  <si>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</si>
  <si>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</si>
  <si>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</si>
  <si>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</si>
  <si>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</si>
  <si>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</si>
  <si>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</si>
  <si>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</si>
  <si>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</si>
  <si>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</si>
  <si>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</si>
  <si>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</si>
  <si>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</si>
  <si>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</si>
  <si>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</si>
  <si>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</si>
  <si>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</si>
  <si>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</si>
  <si>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</si>
  <si>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</si>
  <si>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</si>
  <si>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</si>
  <si>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</si>
  <si>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</si>
  <si>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</si>
  <si>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</si>
  <si>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</si>
  <si>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</si>
  <si>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</si>
  <si>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</si>
  <si>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</si>
  <si>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</si>
  <si>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</si>
  <si>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</si>
  <si>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</si>
  <si>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</si>
  <si>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</si>
  <si>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</si>
  <si>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</si>
  <si>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</si>
  <si>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</si>
  <si>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</si>
  <si>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</si>
  <si>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</si>
  <si>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</si>
  <si>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</si>
  <si>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</si>
  <si>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</si>
  <si>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</si>
  <si>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</si>
  <si>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</si>
  <si>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</si>
  <si>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</si>
  <si>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</si>
  <si>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</si>
  <si>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</si>
  <si>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</si>
  <si>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</si>
  <si>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</si>
  <si>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</si>
  <si>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</si>
  <si>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</si>
  <si>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</si>
  <si>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</si>
  <si>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</si>
  <si>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</si>
  <si>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</si>
  <si>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Type, Size, and Age are important.</t>
  </si>
  <si>
    <t>If the age is more than 17, we replace. If less, we tune up.</t>
  </si>
  <si>
    <t>Note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</si>
  <si>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</si>
  <si>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</si>
  <si>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</si>
  <si>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</si>
  <si>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</si>
  <si>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</si>
  <si>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</si>
  <si>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v2.0.1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</si>
</sst>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2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  <font>
      <sz val="36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  <xf numFmtId="0" fontId="43" fillId="8" borderId="0" applyNumberFormat="0" applyBorder="0" applyAlignment="0" applyProtection="0"/>
  </cellStyleXfs>
  <cellXfs count="465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8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9" fillId="2" borderId="0" xfId="0" applyFont="1" applyFill="1"/>
    <xf numFmtId="0" fontId="60" fillId="2" borderId="0" xfId="0" applyFont="1" applyFill="1" applyAlignment="1">
      <alignment horizontal="center" vertical="center"/>
    </xf>
    <xf numFmtId="0" fontId="57" fillId="2" borderId="0" xfId="0" applyFont="1" applyFill="1"/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6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228600</xdr:colOff>
          <xdr:row>1</xdr:row>
          <xdr:rowOff>327660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2</xdr:col>
          <xdr:colOff>30480</xdr:colOff>
          <xdr:row>0</xdr:row>
          <xdr:rowOff>678180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1</xdr:col>
          <xdr:colOff>1186180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>
      <selection activeCell="B1" sqref="B1"/>
    </sheetView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661</v>
      </c>
      <c r="I1" s="186"/>
      <c r="J1" s="177" t="s">
        <v>41</v>
      </c>
      <c r="K1" s="231" t="str">
        <f>IFERROR(VLOOKUP(H1, A55:C63,3, FALSE), "")</f>
        <v/>
      </c>
      <c r="L1" s="186"/>
      <c r="O1" s="179"/>
      <c r="P1" s="179"/>
      <c r="Q1" s="180"/>
      <c r="AD1" s="396" t="s">
        <v>650</v>
      </c>
    </row>
    <row r="2" spans="1:30" s="178" customFormat="1" ht="65.400000000000006" customHeight="1" x14ac:dyDescent="0.4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651</v>
      </c>
    </row>
    <row r="3" spans="1:30" s="178" customFormat="1" ht="69.599999999999994" customHeight="1" x14ac:dyDescent="0.4">
      <c r="A3" s="202" t="s">
        <v>298</v>
      </c>
      <c r="B3" s="345"/>
      <c r="C3" s="186"/>
      <c r="D3" s="183" t="s">
        <v>312</v>
      </c>
      <c r="E3" s="345"/>
      <c r="F3" s="182"/>
      <c r="G3" s="427" t="s">
        <v>313</v>
      </c>
      <c r="H3" s="428"/>
      <c r="I3" s="233"/>
      <c r="J3" s="288" t="s">
        <v>314</v>
      </c>
      <c r="K3" s="233"/>
      <c r="L3" s="227"/>
      <c r="O3" s="184"/>
      <c r="P3" s="184"/>
      <c r="Q3" s="180"/>
      <c r="AD3" s="396" t="s">
        <v>652</v>
      </c>
    </row>
    <row r="4" spans="1:30" s="178" customFormat="1" ht="72.75" customHeight="1" x14ac:dyDescent="0.4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A55:C63,2, FALSE), "")</f>
        <v/>
      </c>
      <c r="I4" s="182"/>
      <c r="J4" s="182"/>
      <c r="K4" s="182"/>
      <c r="L4" s="182"/>
      <c r="O4" s="184"/>
      <c r="P4" s="184"/>
      <c r="Q4" s="180"/>
      <c r="AD4" s="396" t="s">
        <v>653</v>
      </c>
    </row>
    <row r="5" spans="1:30" s="178" customFormat="1" ht="33" customHeight="1" x14ac:dyDescent="0.4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661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654</v>
      </c>
    </row>
    <row r="11" spans="1:30" ht="36.75" customHeight="1" thickBot="1" x14ac:dyDescent="0.45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657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9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658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30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659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660</v>
      </c>
    </row>
    <row r="15" spans="1:30" ht="36.75" customHeight="1" x14ac:dyDescent="0.4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655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656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29.4" customHeight="1" x14ac:dyDescent="0.65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  <c r="AD25" s="426" t="s">
        <v>740</v>
      </c>
    </row>
    <row r="26" spans="1:30" ht="29.4" customHeight="1" x14ac:dyDescent="0.65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  <c r="AD26" s="426" t="s">
        <v>741</v>
      </c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 t="s">
        <v>747</v>
      </c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724</v>
      </c>
    </row>
    <row r="55" spans="1:3" x14ac:dyDescent="0.4">
      <c r="A55"/>
      <c r="B55"/>
      <c r="C55"/>
    </row>
    <row r="56" spans="1:3" x14ac:dyDescent="0.4">
      <c r="A56" t="s">
        <v>703</v>
      </c>
      <c r="B56" t="s">
        <v>704</v>
      </c>
      <c r="C56" t="s">
        <v>705</v>
      </c>
    </row>
    <row r="57" spans="1:3" x14ac:dyDescent="0.4">
      <c r="A57" t="s">
        <v>706</v>
      </c>
      <c r="B57" t="s">
        <v>707</v>
      </c>
      <c r="C57" t="s">
        <v>708</v>
      </c>
    </row>
    <row r="58" spans="1:3" x14ac:dyDescent="0.4">
      <c r="A58" t="s">
        <v>709</v>
      </c>
      <c r="B58" t="s">
        <v>710</v>
      </c>
      <c r="C58" t="s">
        <v>711</v>
      </c>
    </row>
    <row r="59" spans="1:3" x14ac:dyDescent="0.4">
      <c r="A59" t="s">
        <v>712</v>
      </c>
      <c r="B59" t="s">
        <v>713</v>
      </c>
      <c r="C59" t="s">
        <v>714</v>
      </c>
    </row>
    <row r="60" spans="1:3" x14ac:dyDescent="0.4">
      <c r="A60" t="s">
        <v>715</v>
      </c>
      <c r="B60" t="s">
        <v>716</v>
      </c>
      <c r="C60" t="s">
        <v>717</v>
      </c>
    </row>
    <row r="61" spans="1:3" x14ac:dyDescent="0.4">
      <c r="A61" t="s">
        <v>742</v>
      </c>
      <c r="B61" t="s">
        <v>743</v>
      </c>
      <c r="C61" t="s">
        <v>744</v>
      </c>
    </row>
    <row r="62" spans="1:3" x14ac:dyDescent="0.4">
      <c r="A62" t="s">
        <v>718</v>
      </c>
      <c r="B62" t="s">
        <v>719</v>
      </c>
      <c r="C62" t="s">
        <v>720</v>
      </c>
    </row>
    <row r="63" spans="1:3" x14ac:dyDescent="0.4">
      <c r="A63" t="s">
        <v>721</v>
      </c>
      <c r="B63" t="s">
        <v>722</v>
      </c>
      <c r="C63" t="s">
        <v>723</v>
      </c>
    </row>
    <row r="110" spans="37:37" hidden="1" x14ac:dyDescent="0.4">
      <c r="AK110" s="193" t="s">
        <v>662</v>
      </c>
    </row>
    <row r="111" spans="37:37" hidden="1" x14ac:dyDescent="0.4">
      <c r="AK111" s="193" t="s">
        <v>663</v>
      </c>
    </row>
  </sheetData>
  <mergeCells count="2">
    <mergeCell ref="G3:H3"/>
    <mergeCell ref="J12:J13"/>
  </mergeCells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$A$55:$A$63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198120</xdr:colOff>
                <xdr:row>1</xdr:row>
                <xdr:rowOff>365760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activeCell="A2" sqref="A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8" max="8" width="42.88671875" customWidth="1"/>
  </cols>
  <sheetData>
    <row r="1" spans="1:33" s="2" customFormat="1" ht="41.25" customHeight="1" x14ac:dyDescent="0.3">
      <c r="A1" s="431" t="s">
        <v>301</v>
      </c>
      <c r="B1" s="431"/>
      <c r="C1" s="431"/>
      <c r="D1" s="432" t="s">
        <v>302</v>
      </c>
      <c r="E1" s="433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 x14ac:dyDescent="0.35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424" t="s">
        <v>734</v>
      </c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 x14ac:dyDescent="0.3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 x14ac:dyDescent="0.3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 x14ac:dyDescent="0.3">
      <c r="A6" s="340" t="s">
        <v>94</v>
      </c>
      <c r="B6" s="1"/>
      <c r="C6" s="1"/>
      <c r="D6" s="39" t="s">
        <v>84</v>
      </c>
      <c r="E6" s="42"/>
      <c r="F6" s="338" t="s">
        <v>625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 x14ac:dyDescent="0.3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 x14ac:dyDescent="0.3">
      <c r="A8" s="340" t="s">
        <v>111</v>
      </c>
      <c r="B8" s="1"/>
      <c r="C8" s="1"/>
      <c r="D8" s="39" t="s">
        <v>86</v>
      </c>
      <c r="E8" s="42"/>
      <c r="F8" s="338" t="s">
        <v>626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 x14ac:dyDescent="0.3">
      <c r="A9" s="340" t="s">
        <v>116</v>
      </c>
      <c r="B9" s="41"/>
      <c r="C9" s="41"/>
      <c r="D9" s="29" t="s">
        <v>87</v>
      </c>
      <c r="E9" s="52"/>
      <c r="F9" s="338" t="s">
        <v>627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 x14ac:dyDescent="0.3">
      <c r="A10" s="340" t="s">
        <v>120</v>
      </c>
      <c r="B10" s="50"/>
      <c r="C10" s="50"/>
      <c r="D10" s="40" t="s">
        <v>88</v>
      </c>
      <c r="E10" s="51"/>
      <c r="F10" s="338" t="s">
        <v>628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 x14ac:dyDescent="0.3">
      <c r="A11" s="340" t="s">
        <v>123</v>
      </c>
      <c r="B11" s="1"/>
      <c r="C11" s="1"/>
      <c r="D11" s="39" t="s">
        <v>89</v>
      </c>
      <c r="E11" s="42"/>
      <c r="F11" s="338" t="s">
        <v>629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 x14ac:dyDescent="0.3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 x14ac:dyDescent="0.3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628</v>
      </c>
    </row>
    <row r="14" spans="1:33" s="2" customFormat="1" ht="18" customHeight="1" x14ac:dyDescent="0.3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 x14ac:dyDescent="0.3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 x14ac:dyDescent="0.3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 x14ac:dyDescent="0.3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 x14ac:dyDescent="0.3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 x14ac:dyDescent="0.3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626</v>
      </c>
    </row>
    <row r="20" spans="1:33" s="2" customFormat="1" ht="18" customHeight="1" x14ac:dyDescent="0.3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626</v>
      </c>
    </row>
    <row r="21" spans="1:33" s="2" customFormat="1" ht="18" customHeight="1" x14ac:dyDescent="0.3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 x14ac:dyDescent="0.3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627</v>
      </c>
    </row>
    <row r="23" spans="1:33" s="2" customFormat="1" ht="18" customHeight="1" x14ac:dyDescent="0.3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 x14ac:dyDescent="0.3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 x14ac:dyDescent="0.3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 x14ac:dyDescent="0.3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 x14ac:dyDescent="0.3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 x14ac:dyDescent="0.3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 x14ac:dyDescent="0.3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628</v>
      </c>
    </row>
    <row r="30" spans="1:33" s="2" customFormat="1" ht="18" customHeight="1" x14ac:dyDescent="0.3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627</v>
      </c>
    </row>
    <row r="31" spans="1:33" s="2" customFormat="1" ht="18" customHeight="1" x14ac:dyDescent="0.3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628</v>
      </c>
    </row>
    <row r="32" spans="1:33" s="2" customFormat="1" ht="18" customHeight="1" x14ac:dyDescent="0.3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628</v>
      </c>
    </row>
    <row r="33" spans="1:33" s="2" customFormat="1" ht="18" customHeight="1" x14ac:dyDescent="0.3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628</v>
      </c>
    </row>
    <row r="34" spans="1:33" s="2" customFormat="1" ht="18" customHeight="1" x14ac:dyDescent="0.3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628</v>
      </c>
    </row>
    <row r="35" spans="1:33" s="2" customFormat="1" ht="18" customHeight="1" x14ac:dyDescent="0.3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 x14ac:dyDescent="0.3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 x14ac:dyDescent="0.3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 x14ac:dyDescent="0.3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 x14ac:dyDescent="0.3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625</v>
      </c>
    </row>
    <row r="40" spans="1:33" s="2" customFormat="1" ht="18" customHeight="1" x14ac:dyDescent="0.3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628</v>
      </c>
      <c r="AG40" s="421" t="s">
        <v>628</v>
      </c>
    </row>
    <row r="41" spans="1:33" s="2" customFormat="1" ht="18" customHeight="1" x14ac:dyDescent="0.3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628</v>
      </c>
      <c r="AG41" s="421" t="s">
        <v>628</v>
      </c>
    </row>
    <row r="42" spans="1:33" s="2" customFormat="1" ht="18" customHeight="1" x14ac:dyDescent="0.3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629</v>
      </c>
    </row>
    <row r="43" spans="1:33" s="2" customFormat="1" ht="18" customHeight="1" x14ac:dyDescent="0.3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629</v>
      </c>
    </row>
    <row r="44" spans="1:33" s="2" customFormat="1" ht="18" customHeight="1" x14ac:dyDescent="0.3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 x14ac:dyDescent="0.3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 x14ac:dyDescent="0.3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 x14ac:dyDescent="0.3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 x14ac:dyDescent="0.35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C2" sqref="C2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5" max="15" width="84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34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661</v>
      </c>
      <c r="M2" s="273"/>
      <c r="O2" s="422" t="s">
        <v>735</v>
      </c>
      <c r="S2" s="2"/>
      <c r="U2" s="2"/>
      <c r="V2" s="2"/>
      <c r="W2" s="2"/>
    </row>
    <row r="3" spans="1:24" s="3" customFormat="1" ht="48.75" customHeight="1" x14ac:dyDescent="0.4">
      <c r="A3" s="434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O3" s="422" t="s">
        <v>736</v>
      </c>
      <c r="S3" s="2" t="s">
        <v>664</v>
      </c>
      <c r="U3" s="2" t="s">
        <v>677</v>
      </c>
      <c r="V3" s="2" t="s">
        <v>683</v>
      </c>
      <c r="W3" s="2" t="s">
        <v>688</v>
      </c>
      <c r="X3" s="3" t="s">
        <v>662</v>
      </c>
    </row>
    <row r="4" spans="1:24" s="3" customFormat="1" ht="48.75" customHeight="1" x14ac:dyDescent="0.4">
      <c r="A4" s="434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665</v>
      </c>
      <c r="U4" s="2" t="s">
        <v>678</v>
      </c>
      <c r="V4" s="2" t="s">
        <v>684</v>
      </c>
      <c r="W4" s="2" t="s">
        <v>689</v>
      </c>
      <c r="X4" s="3" t="s">
        <v>663</v>
      </c>
    </row>
    <row r="5" spans="1:24" s="3" customFormat="1" ht="48.75" customHeight="1" x14ac:dyDescent="0.4">
      <c r="A5" s="434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666</v>
      </c>
      <c r="U5" s="2" t="s">
        <v>679</v>
      </c>
      <c r="V5" s="2" t="s">
        <v>685</v>
      </c>
      <c r="W5" s="2" t="s">
        <v>690</v>
      </c>
    </row>
    <row r="6" spans="1:24" s="3" customFormat="1" ht="48.75" customHeight="1" x14ac:dyDescent="0.4">
      <c r="A6" s="434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667</v>
      </c>
      <c r="U6" s="2" t="s">
        <v>680</v>
      </c>
      <c r="V6" s="2" t="s">
        <v>686</v>
      </c>
      <c r="W6" s="2" t="s">
        <v>691</v>
      </c>
    </row>
    <row r="7" spans="1:24" s="3" customFormat="1" ht="48.75" customHeight="1" x14ac:dyDescent="0.4">
      <c r="A7" s="434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668</v>
      </c>
      <c r="U7" s="2" t="s">
        <v>681</v>
      </c>
      <c r="V7" s="2" t="s">
        <v>687</v>
      </c>
      <c r="W7" s="3" t="s">
        <v>697</v>
      </c>
    </row>
    <row r="8" spans="1:24" s="3" customFormat="1" ht="48.75" customHeight="1" x14ac:dyDescent="0.4">
      <c r="A8" s="434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669</v>
      </c>
      <c r="U8" s="2" t="s">
        <v>702</v>
      </c>
      <c r="V8" s="3" t="s">
        <v>700</v>
      </c>
      <c r="W8" s="3" t="s">
        <v>698</v>
      </c>
    </row>
    <row r="9" spans="1:24" s="3" customFormat="1" ht="48.75" customHeight="1" x14ac:dyDescent="0.4">
      <c r="A9" s="434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670</v>
      </c>
      <c r="U9" s="2" t="s">
        <v>682</v>
      </c>
      <c r="V9" s="3" t="s">
        <v>701</v>
      </c>
      <c r="W9" s="3" t="s">
        <v>699</v>
      </c>
    </row>
    <row r="10" spans="1:24" s="2" customFormat="1" ht="48.75" customHeight="1" x14ac:dyDescent="0.4">
      <c r="A10" s="434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671</v>
      </c>
    </row>
    <row r="11" spans="1:24" s="2" customFormat="1" ht="48.75" customHeight="1" thickBot="1" x14ac:dyDescent="0.45">
      <c r="A11" s="435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672</v>
      </c>
    </row>
    <row r="12" spans="1:24" x14ac:dyDescent="0.3">
      <c r="S12" s="2" t="s">
        <v>673</v>
      </c>
    </row>
    <row r="13" spans="1:24" x14ac:dyDescent="0.3">
      <c r="S13" s="2" t="s">
        <v>674</v>
      </c>
    </row>
    <row r="14" spans="1:24" x14ac:dyDescent="0.3">
      <c r="S14" s="2" t="s">
        <v>675</v>
      </c>
    </row>
    <row r="15" spans="1:24" x14ac:dyDescent="0.3">
      <c r="S15" s="2" t="s">
        <v>676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50" zoomScaleNormal="100" zoomScaleSheetLayoutView="5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11.44140625" customWidth="1"/>
    <col min="5" max="5" width="32.33203125" customWidth="1"/>
    <col min="6" max="6" width="26.5546875" customWidth="1"/>
    <col min="7" max="7" width="20" customWidth="1"/>
    <col min="8" max="8" width="14.6640625" customWidth="1"/>
    <col min="9" max="9" width="11.88671875" customWidth="1"/>
    <col min="10" max="10" width="17.6640625" customWidth="1"/>
    <col min="11" max="11" width="13.44140625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18.6640625" customWidth="1"/>
    <col min="19" max="20" width="30.5546875" customWidth="1"/>
    <col min="23" max="23" width="91.4414062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733</v>
      </c>
    </row>
    <row r="2" spans="1:41" s="2" customFormat="1" ht="39" customHeight="1" thickBot="1" x14ac:dyDescent="0.5">
      <c r="A2" s="436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IF(E2="",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661</v>
      </c>
      <c r="W2" s="425" t="s">
        <v>739</v>
      </c>
    </row>
    <row r="3" spans="1:41" s="2" customFormat="1" ht="39" customHeight="1" thickBot="1" x14ac:dyDescent="0.5">
      <c r="A3" s="437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IF(E3="",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W3" s="425" t="s">
        <v>735</v>
      </c>
      <c r="AA3" s="2" t="s">
        <v>628</v>
      </c>
      <c r="AB3" s="2" t="s">
        <v>677</v>
      </c>
      <c r="AD3" s="2" t="s">
        <v>664</v>
      </c>
      <c r="AF3" s="2" t="s">
        <v>621</v>
      </c>
      <c r="AH3" s="2" t="s">
        <v>683</v>
      </c>
      <c r="AJ3" s="2" t="s">
        <v>662</v>
      </c>
      <c r="AK3" s="2" t="s">
        <v>607</v>
      </c>
      <c r="AM3" s="2" t="s">
        <v>610</v>
      </c>
      <c r="AO3" s="2" t="s">
        <v>688</v>
      </c>
    </row>
    <row r="4" spans="1:41" s="2" customFormat="1" ht="39" customHeight="1" thickBot="1" x14ac:dyDescent="0.5">
      <c r="A4" s="437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IF(E4="", "", IF('Facility Info'!H8="Y", IF(C4="Y", "Natural Gas", "None"), IF(C4="Y", "Heat Pump", "None")))</f>
        <v/>
      </c>
      <c r="N4" s="251" t="s">
        <v>661</v>
      </c>
      <c r="O4" s="251"/>
      <c r="P4" s="251"/>
      <c r="Q4" s="251"/>
      <c r="R4" s="375"/>
      <c r="S4" s="417"/>
      <c r="T4" s="419"/>
      <c r="W4" s="425" t="s">
        <v>736</v>
      </c>
      <c r="AA4" s="2" t="s">
        <v>573</v>
      </c>
      <c r="AB4" s="2" t="s">
        <v>678</v>
      </c>
      <c r="AD4" s="2" t="s">
        <v>665</v>
      </c>
      <c r="AF4" s="2" t="s">
        <v>305</v>
      </c>
      <c r="AH4" s="2" t="s">
        <v>684</v>
      </c>
      <c r="AJ4" s="2" t="s">
        <v>663</v>
      </c>
      <c r="AK4" s="2" t="s">
        <v>608</v>
      </c>
      <c r="AM4" s="2" t="s">
        <v>611</v>
      </c>
      <c r="AO4" s="2" t="s">
        <v>689</v>
      </c>
    </row>
    <row r="5" spans="1:41" s="2" customFormat="1" ht="39" customHeight="1" thickBot="1" x14ac:dyDescent="0.5">
      <c r="A5" s="437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IF(E5="",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692</v>
      </c>
      <c r="AB5" s="2" t="s">
        <v>679</v>
      </c>
      <c r="AD5" s="2" t="s">
        <v>666</v>
      </c>
      <c r="AF5" s="2" t="s">
        <v>618</v>
      </c>
      <c r="AH5" s="2" t="s">
        <v>685</v>
      </c>
      <c r="AM5" s="2" t="s">
        <v>612</v>
      </c>
      <c r="AO5" s="2" t="s">
        <v>690</v>
      </c>
    </row>
    <row r="6" spans="1:41" s="2" customFormat="1" ht="39" customHeight="1" thickBot="1" x14ac:dyDescent="0.5">
      <c r="A6" s="437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IF(E6="",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693</v>
      </c>
      <c r="AB6" s="2" t="s">
        <v>680</v>
      </c>
      <c r="AD6" s="2" t="s">
        <v>667</v>
      </c>
      <c r="AF6" s="2" t="s">
        <v>619</v>
      </c>
      <c r="AH6" s="2" t="s">
        <v>686</v>
      </c>
      <c r="AM6" s="2" t="s">
        <v>613</v>
      </c>
      <c r="AO6" s="2" t="s">
        <v>691</v>
      </c>
    </row>
    <row r="7" spans="1:41" s="2" customFormat="1" ht="39" customHeight="1" thickBot="1" x14ac:dyDescent="0.5">
      <c r="A7" s="437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IF(E7="",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694</v>
      </c>
      <c r="AB7" s="2" t="s">
        <v>681</v>
      </c>
      <c r="AD7" s="2" t="s">
        <v>668</v>
      </c>
      <c r="AF7" s="2" t="s">
        <v>620</v>
      </c>
      <c r="AH7" s="2" t="s">
        <v>687</v>
      </c>
      <c r="AM7" s="2" t="s">
        <v>614</v>
      </c>
    </row>
    <row r="8" spans="1:41" s="2" customFormat="1" ht="39" customHeight="1" thickBot="1" x14ac:dyDescent="0.5">
      <c r="A8" s="437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IF(E8="",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695</v>
      </c>
      <c r="AB8" s="2" t="s">
        <v>702</v>
      </c>
      <c r="AD8" s="2" t="s">
        <v>669</v>
      </c>
      <c r="AH8" s="2" t="s">
        <v>731</v>
      </c>
      <c r="AM8" s="2" t="s">
        <v>615</v>
      </c>
    </row>
    <row r="9" spans="1:41" s="2" customFormat="1" ht="39" customHeight="1" thickBot="1" x14ac:dyDescent="0.5">
      <c r="A9" s="437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IF(E9="",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696</v>
      </c>
      <c r="AB9" s="2" t="s">
        <v>682</v>
      </c>
      <c r="AD9" s="2" t="s">
        <v>670</v>
      </c>
      <c r="AM9" s="2" t="s">
        <v>616</v>
      </c>
    </row>
    <row r="10" spans="1:41" s="2" customFormat="1" ht="39" customHeight="1" thickBot="1" x14ac:dyDescent="0.5">
      <c r="A10" s="437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IF(E10="",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671</v>
      </c>
      <c r="AM10" s="2" t="s">
        <v>617</v>
      </c>
    </row>
    <row r="11" spans="1:41" s="2" customFormat="1" ht="39" customHeight="1" thickBot="1" x14ac:dyDescent="0.5">
      <c r="A11" s="437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IF(E11="",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672</v>
      </c>
    </row>
    <row r="12" spans="1:41" s="2" customFormat="1" ht="39" customHeight="1" thickBot="1" x14ac:dyDescent="0.5">
      <c r="A12" s="437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IF(E12="",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673</v>
      </c>
    </row>
    <row r="13" spans="1:41" s="2" customFormat="1" ht="39" customHeight="1" thickBot="1" x14ac:dyDescent="0.5">
      <c r="A13" s="437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IF(E13="",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674</v>
      </c>
    </row>
    <row r="14" spans="1:41" s="2" customFormat="1" ht="39" customHeight="1" thickBot="1" x14ac:dyDescent="0.5">
      <c r="A14" s="438" t="s">
        <v>6</v>
      </c>
      <c r="B14" s="223" t="s">
        <v>745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IF(E14="",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675</v>
      </c>
    </row>
    <row r="15" spans="1:41" s="2" customFormat="1" ht="39" customHeight="1" thickBot="1" x14ac:dyDescent="0.5">
      <c r="A15" s="439"/>
      <c r="B15" s="224" t="s">
        <v>746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IF(E15="",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676</v>
      </c>
    </row>
    <row r="16" spans="1:41" s="2" customFormat="1" ht="51" customHeight="1" thickBot="1" x14ac:dyDescent="0.5">
      <c r="A16" s="225" t="s">
        <v>5</v>
      </c>
      <c r="B16" s="364"/>
      <c r="C16" s="364"/>
      <c r="D16" s="260"/>
      <c r="E16" s="374" t="s">
        <v>661</v>
      </c>
      <c r="F16" s="260"/>
      <c r="G16" s="260"/>
      <c r="H16" s="260"/>
      <c r="I16" s="374"/>
      <c r="J16" s="374"/>
      <c r="K16" s="260"/>
      <c r="L16" s="378"/>
      <c r="M16" s="376" t="str">
        <f>IF(E16="",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 x14ac:dyDescent="0.5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IF(E17="",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 x14ac:dyDescent="0.5">
      <c r="A18" s="64"/>
      <c r="B18" s="366"/>
      <c r="C18" s="366"/>
      <c r="D18" s="265"/>
      <c r="E18" s="373"/>
      <c r="F18" s="266"/>
      <c r="G18" s="267" t="s">
        <v>661</v>
      </c>
      <c r="H18" s="256"/>
      <c r="I18" s="373"/>
      <c r="J18" s="373"/>
      <c r="K18" s="256"/>
      <c r="L18" s="377"/>
      <c r="M18" s="376" t="str">
        <f>IF(E18="", "", IF('Facility Info'!H8="Y", IF(C18="Y", "Natural Gas", "None"), IF(C18="Y",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2:M18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1188720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zoomScaleNormal="100" workbookViewId="0">
      <selection activeCell="B1" sqref="B1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0.399999999999999" x14ac:dyDescent="0.3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20.399999999999999" x14ac:dyDescent="0.3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20.399999999999999" x14ac:dyDescent="0.3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20.399999999999999" x14ac:dyDescent="0.3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0.399999999999999" x14ac:dyDescent="0.3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20.399999999999999" x14ac:dyDescent="0.3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20.399999999999999" x14ac:dyDescent="0.3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20.399999999999999" x14ac:dyDescent="0.3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0.399999999999999" x14ac:dyDescent="0.3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0.399999999999999" x14ac:dyDescent="0.3">
      <c r="A11" s="309" t="s">
        <v>648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0.399999999999999" x14ac:dyDescent="0.3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0.399999999999999" x14ac:dyDescent="0.3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 x14ac:dyDescent="0.3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 x14ac:dyDescent="0.3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 x14ac:dyDescent="0.3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726</v>
      </c>
      <c r="H16" s="402" t="s">
        <v>725</v>
      </c>
      <c r="I16" s="302" t="s">
        <v>447</v>
      </c>
      <c r="J16" s="302" t="s">
        <v>453</v>
      </c>
      <c r="N16" s="314"/>
    </row>
    <row r="17" spans="1:14" ht="20.399999999999999" x14ac:dyDescent="0.3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726</v>
      </c>
      <c r="H17" s="403" t="s">
        <v>725</v>
      </c>
      <c r="I17" s="35" t="s">
        <v>447</v>
      </c>
      <c r="J17" s="35" t="s">
        <v>453</v>
      </c>
      <c r="K17" s="334" t="s">
        <v>592</v>
      </c>
      <c r="N17" s="314"/>
    </row>
    <row r="18" spans="1:14" ht="20.399999999999999" x14ac:dyDescent="0.3">
      <c r="A18" s="309" t="s">
        <v>647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726</v>
      </c>
      <c r="H18" s="403" t="s">
        <v>725</v>
      </c>
      <c r="I18" s="35" t="s">
        <v>447</v>
      </c>
      <c r="J18" s="35" t="s">
        <v>453</v>
      </c>
      <c r="K18" s="334" t="s">
        <v>592</v>
      </c>
      <c r="N18" s="314"/>
    </row>
    <row r="19" spans="1:14" ht="20.399999999999999" x14ac:dyDescent="0.3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0.399999999999999" x14ac:dyDescent="0.3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0.399999999999999" x14ac:dyDescent="0.3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0.399999999999999" x14ac:dyDescent="0.3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0.399999999999999" x14ac:dyDescent="0.3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726</v>
      </c>
      <c r="H23" s="403" t="s">
        <v>725</v>
      </c>
      <c r="I23" s="302" t="s">
        <v>447</v>
      </c>
      <c r="J23" s="302" t="s">
        <v>453</v>
      </c>
      <c r="K23" s="334" t="s">
        <v>592</v>
      </c>
      <c r="N23" s="314"/>
    </row>
    <row r="24" spans="1:14" ht="20.399999999999999" x14ac:dyDescent="0.3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0.399999999999999" x14ac:dyDescent="0.3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0.399999999999999" x14ac:dyDescent="0.3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0.399999999999999" x14ac:dyDescent="0.3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0.399999999999999" x14ac:dyDescent="0.3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0.399999999999999" x14ac:dyDescent="0.3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0.399999999999999" x14ac:dyDescent="0.3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 x14ac:dyDescent="0.3">
      <c r="A31" s="309" t="s">
        <v>645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K31" s="76" t="str">
        <f>""</f>
        <v/>
      </c>
      <c r="N31" s="314"/>
    </row>
    <row r="32" spans="1:14" x14ac:dyDescent="0.3">
      <c r="A32" s="309" t="s">
        <v>646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K32" s="76" t="str">
        <f>""</f>
        <v/>
      </c>
      <c r="N32" s="314"/>
    </row>
    <row r="33" spans="1:14" ht="20.399999999999999" x14ac:dyDescent="0.3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0.399999999999999" x14ac:dyDescent="0.3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0.399999999999999" x14ac:dyDescent="0.3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0.399999999999999" x14ac:dyDescent="0.3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0.399999999999999" x14ac:dyDescent="0.3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0.399999999999999" x14ac:dyDescent="0.3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0.399999999999999" x14ac:dyDescent="0.3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0.399999999999999" x14ac:dyDescent="0.3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0.399999999999999" x14ac:dyDescent="0.3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0.399999999999999" x14ac:dyDescent="0.3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0.399999999999999" x14ac:dyDescent="0.3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0.399999999999999" x14ac:dyDescent="0.3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0.399999999999999" x14ac:dyDescent="0.3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0.399999999999999" x14ac:dyDescent="0.3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0.399999999999999" x14ac:dyDescent="0.3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0.399999999999999" x14ac:dyDescent="0.3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0.399999999999999" x14ac:dyDescent="0.3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0.399999999999999" x14ac:dyDescent="0.3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0.399999999999999" x14ac:dyDescent="0.3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0.399999999999999" x14ac:dyDescent="0.3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0.399999999999999" x14ac:dyDescent="0.3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0.399999999999999" x14ac:dyDescent="0.3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0.399999999999999" x14ac:dyDescent="0.3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0.399999999999999" x14ac:dyDescent="0.3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0.399999999999999" x14ac:dyDescent="0.3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0.399999999999999" x14ac:dyDescent="0.3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0.399999999999999" x14ac:dyDescent="0.3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0.399999999999999" x14ac:dyDescent="0.3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0.399999999999999" x14ac:dyDescent="0.3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0.399999999999999" x14ac:dyDescent="0.3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0.399999999999999" x14ac:dyDescent="0.3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0.399999999999999" x14ac:dyDescent="0.3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0.399999999999999" x14ac:dyDescent="0.3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0.399999999999999" x14ac:dyDescent="0.3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0.399999999999999" x14ac:dyDescent="0.3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0.399999999999999" x14ac:dyDescent="0.3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0.399999999999999" x14ac:dyDescent="0.3">
      <c r="A69" s="76" t="s">
        <v>475</v>
      </c>
      <c r="B69" s="314" t="s">
        <v>438</v>
      </c>
      <c r="C69" s="35" t="s">
        <v>649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0.399999999999999" x14ac:dyDescent="0.3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 x14ac:dyDescent="0.3">
      <c r="A71" s="76" t="s">
        <v>477</v>
      </c>
      <c r="B71" s="317" t="s">
        <v>440</v>
      </c>
      <c r="C71" s="76" t="e">
        <v>#N/A</v>
      </c>
      <c r="K71" s="76" t="str">
        <f>""</f>
        <v/>
      </c>
    </row>
    <row r="72" spans="1:11" ht="30.6" x14ac:dyDescent="0.3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0.6" x14ac:dyDescent="0.3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0.6" x14ac:dyDescent="0.3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0.6" x14ac:dyDescent="0.3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0.399999999999999" x14ac:dyDescent="0.3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0.399999999999999" x14ac:dyDescent="0.3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0.399999999999999" x14ac:dyDescent="0.3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0.399999999999999" x14ac:dyDescent="0.3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0.399999999999999" x14ac:dyDescent="0.3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0.399999999999999" x14ac:dyDescent="0.3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>
      <selection activeCell="B2" sqref="B2"/>
    </sheetView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4" width="9.109375" style="132"/>
    <col min="15" max="15" width="44.5546875" style="132" customWidth="1"/>
    <col min="16" max="16384" width="9.109375" style="132"/>
  </cols>
  <sheetData>
    <row r="1" spans="1:15" s="9" customFormat="1" ht="126.75" customHeight="1" thickBot="1" x14ac:dyDescent="0.35">
      <c r="A1" s="295" t="s">
        <v>129</v>
      </c>
      <c r="B1" s="229" t="s">
        <v>732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5" s="9" customFormat="1" ht="79.5" customHeight="1" x14ac:dyDescent="0.3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  <c r="O2" s="423" t="s">
        <v>737</v>
      </c>
    </row>
    <row r="3" spans="1:15" s="9" customFormat="1" ht="79.5" customHeight="1" x14ac:dyDescent="0.3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  <c r="O3" s="9" t="s">
        <v>738</v>
      </c>
    </row>
    <row r="4" spans="1:15" s="9" customFormat="1" ht="79.5" customHeight="1" x14ac:dyDescent="0.3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5" ht="15.6" x14ac:dyDescent="0.3">
      <c r="D6" s="228" t="s">
        <v>299</v>
      </c>
      <c r="E6" s="301"/>
      <c r="F6" s="300"/>
      <c r="G6" s="300"/>
      <c r="H6" s="300"/>
    </row>
    <row r="7" spans="1:15" x14ac:dyDescent="0.3">
      <c r="E7" s="300"/>
      <c r="F7" s="300"/>
      <c r="G7" s="300"/>
      <c r="H7" s="300"/>
    </row>
    <row r="8" spans="1:15" ht="15.6" x14ac:dyDescent="0.3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>
      <selection activeCell="B2" sqref="B2"/>
    </sheetView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728</v>
      </c>
      <c r="D1" s="72" t="s">
        <v>729</v>
      </c>
      <c r="E1" s="72" t="s">
        <v>730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728</v>
      </c>
      <c r="D6" s="413"/>
      <c r="E6" s="413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3" t="s">
        <v>728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>
      <selection activeCell="B2" sqref="B2"/>
    </sheetView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5" t="s">
        <v>192</v>
      </c>
      <c r="B1" s="410" t="s">
        <v>193</v>
      </c>
      <c r="C1" s="411" t="s">
        <v>727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 x14ac:dyDescent="0.3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 x14ac:dyDescent="0.3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>
      <selection activeCell="B2" sqref="B2"/>
    </sheetView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B2" sqref="B2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B2" sqref="B2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" sqref="A2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40"/>
      <c r="B1" s="441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activeCell="A2" sqref="A2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59" t="s">
        <v>34</v>
      </c>
      <c r="B1" s="460"/>
      <c r="C1" s="17"/>
      <c r="D1" s="164"/>
      <c r="E1" s="159"/>
      <c r="I1" s="158" t="s">
        <v>19</v>
      </c>
      <c r="J1" s="454" t="s">
        <v>19</v>
      </c>
      <c r="K1" s="455"/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54" t="s">
        <v>20</v>
      </c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53" t="s">
        <v>630</v>
      </c>
      <c r="K3" s="453"/>
      <c r="L3" s="453"/>
      <c r="M3" s="453"/>
      <c r="N3" s="453"/>
      <c r="O3" s="453"/>
      <c r="P3" s="453"/>
      <c r="Q3" s="453"/>
      <c r="R3" s="453"/>
      <c r="S3" s="453"/>
      <c r="T3" s="453"/>
      <c r="U3" s="453"/>
      <c r="V3" s="453"/>
      <c r="W3" s="453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6" t="s">
        <v>21</v>
      </c>
      <c r="K4" s="446"/>
      <c r="L4" s="446"/>
      <c r="M4" s="446"/>
      <c r="N4" s="446"/>
      <c r="O4" s="446"/>
      <c r="P4" s="446"/>
      <c r="Q4" s="446"/>
      <c r="R4" s="446"/>
      <c r="S4" s="446"/>
      <c r="T4" s="446"/>
      <c r="U4" s="446"/>
      <c r="V4" s="446"/>
      <c r="W4" s="447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6" t="s">
        <v>22</v>
      </c>
      <c r="K5" s="446"/>
      <c r="L5" s="446"/>
      <c r="M5" s="446"/>
      <c r="N5" s="446"/>
      <c r="O5" s="446"/>
      <c r="P5" s="446"/>
      <c r="Q5" s="446"/>
      <c r="R5" s="446"/>
      <c r="S5" s="446"/>
      <c r="T5" s="446"/>
      <c r="U5" s="446"/>
      <c r="V5" s="446"/>
      <c r="W5" s="447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51" t="s">
        <v>631</v>
      </c>
      <c r="K6" s="452"/>
      <c r="L6" s="452"/>
      <c r="M6" s="452"/>
      <c r="N6" s="452"/>
      <c r="O6" s="452"/>
      <c r="P6" s="452"/>
      <c r="Q6" s="452"/>
      <c r="R6" s="452"/>
      <c r="S6" s="452"/>
      <c r="T6" s="452"/>
      <c r="U6" s="452"/>
      <c r="V6" s="452"/>
      <c r="W6" s="452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53" t="s">
        <v>632</v>
      </c>
      <c r="K7" s="453"/>
      <c r="L7" s="453"/>
      <c r="M7" s="453"/>
      <c r="N7" s="453"/>
      <c r="O7" s="453"/>
      <c r="P7" s="453"/>
      <c r="Q7" s="453"/>
      <c r="R7" s="453"/>
      <c r="S7" s="453"/>
      <c r="T7" s="453"/>
      <c r="U7" s="453"/>
      <c r="V7" s="453"/>
      <c r="W7" s="453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45" t="s">
        <v>633</v>
      </c>
      <c r="K8" s="446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7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45" t="s">
        <v>634</v>
      </c>
      <c r="K9" s="446"/>
      <c r="L9" s="446"/>
      <c r="M9" s="446"/>
      <c r="N9" s="446"/>
      <c r="O9" s="446"/>
      <c r="P9" s="446"/>
      <c r="Q9" s="446"/>
      <c r="R9" s="446"/>
      <c r="S9" s="446"/>
      <c r="T9" s="446"/>
      <c r="U9" s="446"/>
      <c r="V9" s="446"/>
      <c r="W9" s="447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42" t="s">
        <v>635</v>
      </c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3"/>
      <c r="W10" s="444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42" t="s">
        <v>636</v>
      </c>
      <c r="K11" s="443"/>
      <c r="L11" s="443"/>
      <c r="M11" s="443"/>
      <c r="N11" s="443"/>
      <c r="O11" s="443"/>
      <c r="P11" s="443"/>
      <c r="Q11" s="443"/>
      <c r="R11" s="443"/>
      <c r="S11" s="443"/>
      <c r="T11" s="443"/>
      <c r="U11" s="443"/>
      <c r="V11" s="443"/>
      <c r="W11" s="444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42" t="s">
        <v>637</v>
      </c>
      <c r="K12" s="443"/>
      <c r="L12" s="443"/>
      <c r="M12" s="443"/>
      <c r="N12" s="443"/>
      <c r="O12" s="443"/>
      <c r="P12" s="443"/>
      <c r="Q12" s="443"/>
      <c r="R12" s="443"/>
      <c r="S12" s="443"/>
      <c r="T12" s="443"/>
      <c r="U12" s="443"/>
      <c r="V12" s="443"/>
      <c r="W12" s="444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45" t="s">
        <v>638</v>
      </c>
      <c r="K13" s="446"/>
      <c r="L13" s="446"/>
      <c r="M13" s="446"/>
      <c r="N13" s="446"/>
      <c r="O13" s="446"/>
      <c r="P13" s="446"/>
      <c r="Q13" s="446"/>
      <c r="R13" s="446"/>
      <c r="S13" s="446"/>
      <c r="T13" s="446"/>
      <c r="U13" s="446"/>
      <c r="V13" s="446"/>
      <c r="W13" s="447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42" t="s">
        <v>639</v>
      </c>
      <c r="K14" s="443"/>
      <c r="L14" s="443"/>
      <c r="M14" s="443"/>
      <c r="N14" s="443"/>
      <c r="O14" s="443"/>
      <c r="P14" s="443"/>
      <c r="Q14" s="443"/>
      <c r="R14" s="443"/>
      <c r="S14" s="443"/>
      <c r="T14" s="443"/>
      <c r="U14" s="443"/>
      <c r="V14" s="443"/>
      <c r="W14" s="444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48" t="s">
        <v>640</v>
      </c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  <c r="W15" s="450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45" t="s">
        <v>641</v>
      </c>
      <c r="K16" s="446"/>
      <c r="L16" s="446"/>
      <c r="M16" s="446"/>
      <c r="N16" s="446"/>
      <c r="O16" s="446"/>
      <c r="P16" s="446"/>
      <c r="Q16" s="446"/>
      <c r="R16" s="446"/>
      <c r="S16" s="446"/>
      <c r="T16" s="446"/>
      <c r="U16" s="446"/>
      <c r="V16" s="446"/>
      <c r="W16" s="447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45" t="s">
        <v>642</v>
      </c>
      <c r="K17" s="446"/>
      <c r="L17" s="446"/>
      <c r="M17" s="446"/>
      <c r="N17" s="446"/>
      <c r="O17" s="446"/>
      <c r="P17" s="446"/>
      <c r="Q17" s="446"/>
      <c r="R17" s="446"/>
      <c r="S17" s="446"/>
      <c r="T17" s="446"/>
      <c r="U17" s="446"/>
      <c r="V17" s="446"/>
      <c r="W17" s="447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48" t="s">
        <v>643</v>
      </c>
      <c r="K18" s="449"/>
      <c r="L18" s="449"/>
      <c r="M18" s="449"/>
      <c r="N18" s="449"/>
      <c r="O18" s="449"/>
      <c r="P18" s="449"/>
      <c r="Q18" s="449"/>
      <c r="R18" s="449"/>
      <c r="S18" s="449"/>
      <c r="T18" s="449"/>
      <c r="U18" s="449"/>
      <c r="V18" s="449"/>
      <c r="W18" s="450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45" t="s">
        <v>644</v>
      </c>
      <c r="K19" s="446"/>
      <c r="L19" s="446"/>
      <c r="M19" s="446"/>
      <c r="N19" s="446"/>
      <c r="O19" s="446"/>
      <c r="P19" s="446"/>
      <c r="Q19" s="446"/>
      <c r="R19" s="446"/>
      <c r="S19" s="446"/>
      <c r="T19" s="446"/>
      <c r="U19" s="446"/>
      <c r="V19" s="446"/>
      <c r="W19" s="447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40" t="s">
        <v>56</v>
      </c>
      <c r="B22" s="441"/>
      <c r="D22" s="19"/>
    </row>
    <row r="23" spans="1:23" s="15" customFormat="1" ht="29.25" customHeight="1" x14ac:dyDescent="0.3">
      <c r="A23" s="461"/>
      <c r="B23" s="462"/>
      <c r="D23" s="16"/>
    </row>
    <row r="24" spans="1:23" s="15" customFormat="1" ht="29.25" customHeight="1" x14ac:dyDescent="0.3">
      <c r="A24" s="463"/>
      <c r="B24" s="464"/>
      <c r="D24" s="16"/>
    </row>
    <row r="25" spans="1:23" s="15" customFormat="1" ht="29.25" customHeight="1" x14ac:dyDescent="0.3">
      <c r="A25" s="463"/>
      <c r="B25" s="464"/>
      <c r="D25" s="16"/>
    </row>
    <row r="26" spans="1:23" s="15" customFormat="1" ht="29.25" customHeight="1" x14ac:dyDescent="0.3">
      <c r="A26" s="463"/>
      <c r="B26" s="464"/>
      <c r="D26" s="16"/>
    </row>
    <row r="27" spans="1:23" s="15" customFormat="1" ht="29.25" customHeight="1" thickBot="1" x14ac:dyDescent="0.35">
      <c r="A27" s="457"/>
      <c r="B27" s="458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2012-11-14T19:46:47Z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