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0160" windowHeight="7536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AV56" i="12" l="1"/>
  <c r="AU56" i="12"/>
  <c r="D3" i="4" l="1"/>
  <c r="F2" i="4"/>
  <c r="F3" i="4" s="1"/>
  <c r="G2" i="4" l="1"/>
  <c r="AW56" i="12"/>
  <c r="AX56" i="12"/>
  <c r="AY56" i="12"/>
  <c r="AZ56" i="12"/>
  <c r="AW14" i="12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X54" i="12"/>
  <c r="AY54" i="12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5" i="12" l="1"/>
  <c r="AU14" i="12"/>
  <c r="AU54" i="12"/>
  <c r="AV55" i="12"/>
  <c r="AV54" i="12"/>
  <c r="AU52" i="12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<sst xmlns="http://schemas.openxmlformats.org/spreadsheetml/2006/main" count="1271" uniqueCount="751">
  <si>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</si>
  <si>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</si>
  <si>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</si>
  <si>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</si>
  <si>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</si>
  <si>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</si>
  <si>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</si>
  <si>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</si>
  <si>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</si>
  <si>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</si>
  <si>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</si>
  <si>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</si>
  <si>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</si>
  <si>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</si>
  <si>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</si>
  <si>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</si>
  <si>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</si>
  <si>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</si>
  <si>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</si>
  <si>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</si>
  <si>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</si>
  <si>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</si>
  <si>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</si>
  <si>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</si>
  <si>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</si>
  <si>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</si>
  <si>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</si>
  <si>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</si>
  <si>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</si>
  <si>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</si>
  <si>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</si>
  <si>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</si>
  <si>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</si>
  <si>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</si>
  <si>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</si>
  <si>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</si>
  <si>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</si>
  <si>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</si>
  <si>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</si>
  <si>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</si>
  <si>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</si>
  <si>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</si>
  <si>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</si>
  <si>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</si>
  <si>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</si>
  <si>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</si>
  <si>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</si>
  <si>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</si>
  <si>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</si>
  <si>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</si>
  <si>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</si>
  <si>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</si>
  <si>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</si>
  <si>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</si>
  <si>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</si>
  <si>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</si>
  <si>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</si>
  <si>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</si>
  <si>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</si>
  <si>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</si>
  <si>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</si>
  <si>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</si>
  <si>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</si>
  <si>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</si>
  <si>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</si>
  <si>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</si>
  <si>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</si>
  <si>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</si>
  <si>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</si>
  <si>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</si>
  <si>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</si>
  <si>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</si>
  <si>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</si>
  <si>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</si>
  <si>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</si>
  <si>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</si>
  <si>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</si>
  <si>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</si>
  <si>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</si>
  <si>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</si>
  <si>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</si>
  <si>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</si>
  <si>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</si>
  <si>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</si>
  <si>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</si>
  <si>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</si>
  <si>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</si>
  <si>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</si>
  <si>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</si>
  <si>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</si>
  <si>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</si>
  <si>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</si>
  <si>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</si>
  <si>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</si>
  <si>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</si>
  <si>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</si>
  <si>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</si>
  <si>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</si>
  <si>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</si>
  <si>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</si>
  <si>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</si>
  <si>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</si>
  <si>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</si>
  <si>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</si>
  <si>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</si>
  <si>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</si>
  <si>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</si>
  <si>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</si>
  <si>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</si>
  <si>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</si>
  <si>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</si>
  <si>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</si>
  <si>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</si>
  <si>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</si>
  <si>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</si>
  <si>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</si>
  <si>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</si>
  <si>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</si>
  <si>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</si>
  <si>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</si>
  <si>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</si>
  <si>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</si>
  <si>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</si>
  <si>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</si>
  <si>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</si>
  <si>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</si>
  <si>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</si>
  <si>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</si>
  <si>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</si>
  <si>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</si>
  <si>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</si>
  <si>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</si>
  <si>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</si>
  <si>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</si>
  <si>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</si>
  <si>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</si>
  <si>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</si>
  <si>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</si>
  <si>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</si>
  <si>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</si>
  <si>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</si>
  <si>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</si>
  <si>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</si>
  <si>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</si>
  <si>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</si>
  <si>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</si>
  <si>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</si>
  <si>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</si>
  <si>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</si>
  <si>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</si>
  <si>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</si>
  <si>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</si>
  <si>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</si>
  <si>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</si>
  <si>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</si>
  <si>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</si>
  <si>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</si>
  <si>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</si>
  <si>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</si>
  <si>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</si>
  <si>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</si>
  <si>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</si>
  <si>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</si>
  <si>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</si>
  <si>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</si>
  <si>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</si>
  <si>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</si>
  <si>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</si>
  <si>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</si>
  <si>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</si>
  <si>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</si>
  <si>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</si>
  <si>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</si>
  <si>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</si>
  <si>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</si>
  <si>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</si>
  <si>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</si>
  <si>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</si>
  <si>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</si>
  <si>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</si>
  <si>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</si>
  <si>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</si>
  <si>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</si>
  <si>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</si>
  <si>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</si>
  <si>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</si>
  <si>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</si>
  <si>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</si>
  <si>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</si>
  <si>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</si>
  <si>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</si>
  <si>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</si>
  <si>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</si>
  <si>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</si>
  <si>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</si>
  <si>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</si>
  <si>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</si>
  <si>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</si>
  <si>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</si>
  <si>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</si>
  <si>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</si>
  <si>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</si>
  <si>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</si>
  <si>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</si>
  <si>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</si>
  <si>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</si>
  <si>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</si>
  <si>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</si>
  <si>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</si>
  <si>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</si>
  <si>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</si>
  <si>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</si>
  <si>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</si>
  <si>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</si>
  <si>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</si>
  <si>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</si>
  <si>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</si>
  <si>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</si>
  <si>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</si>
  <si>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</si>
  <si>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</si>
  <si>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</si>
  <si>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</si>
  <si>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</si>
  <si>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</si>
  <si>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</si>
  <si>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</si>
  <si>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</si>
  <si>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</si>
  <si>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</si>
  <si>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</si>
  <si>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</si>
  <si>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</si>
  <si>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</si>
  <si>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</si>
  <si>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</si>
  <si>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</si>
  <si>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</si>
  <si>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</si>
  <si>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</si>
  <si>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</si>
  <si>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</si>
  <si>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</si>
  <si>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</si>
  <si>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</si>
  <si>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</si>
  <si>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</si>
  <si>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</si>
  <si>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</si>
  <si>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</si>
  <si>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</si>
  <si>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</si>
  <si>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</si>
  <si>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</si>
  <si>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</si>
  <si>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</si>
  <si>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</si>
  <si>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</si>
  <si>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</si>
  <si>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</si>
  <si>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</si>
  <si>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</si>
  <si>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</si>
  <si>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</si>
  <si>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</si>
  <si>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</si>
  <si>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</si>
  <si>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</si>
  <si>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</si>
  <si>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</si>
  <si>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</si>
  <si>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</si>
  <si>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</si>
  <si>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</si>
  <si>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</si>
  <si>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</si>
  <si>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</si>
  <si>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</si>
  <si>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</si>
  <si>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</si>
  <si>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</si>
  <si>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</si>
  <si>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</si>
  <si>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</si>
  <si>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</si>
  <si>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</si>
  <si>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</si>
  <si>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</si>
  <si>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</si>
  <si>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</si>
  <si>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</si>
  <si>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</si>
  <si>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</si>
  <si>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</si>
  <si>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</si>
  <si>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</si>
  <si>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</si>
  <si>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</si>
  <si>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</si>
  <si>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</si>
  <si>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</si>
  <si>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</si>
  <si>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</si>
  <si>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</si>
  <si>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</si>
  <si>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</si>
  <si>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</si>
  <si>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</si>
  <si>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</si>
  <si>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</si>
  <si>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</si>
  <si>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</si>
  <si>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</si>
  <si>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</si>
  <si>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</si>
  <si>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</si>
  <si>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</si>
  <si>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</si>
  <si>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</si>
  <si>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</si>
  <si>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</si>
  <si>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</si>
  <si>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</si>
  <si>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</si>
  <si>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</si>
  <si>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</si>
  <si>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</si>
  <si>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</si>
  <si>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</si>
  <si>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</si>
  <si>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</si>
  <si>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</si>
  <si>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</si>
  <si>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</si>
  <si>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</si>
  <si>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</si>
  <si>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</si>
  <si>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</si>
  <si>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</si>
  <si>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</si>
  <si>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</si>
  <si>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</si>
  <si>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</si>
  <si>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</si>
  <si>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</si>
  <si>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</si>
  <si>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</si>
  <si>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</si>
  <si>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</si>
  <si>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</si>
  <si>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</si>
  <si>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</si>
  <si>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</si>
  <si>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</si>
  <si>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</si>
  <si>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</si>
  <si>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</si>
  <si>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</si>
  <si>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</si>
  <si>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</si>
  <si>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</si>
  <si>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</si>
  <si>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</si>
  <si>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</si>
  <si>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</si>
  <si>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</si>
  <si>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</si>
  <si>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</si>
  <si>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</si>
  <si>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</si>
  <si>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</si>
  <si>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</si>
  <si>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</si>
  <si>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</si>
  <si>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</si>
  <si>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</si>
  <si>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</si>
  <si>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</si>
  <si>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</si>
  <si>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</si>
  <si>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</si>
  <si>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</si>
  <si>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</si>
  <si>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</si>
  <si>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</si>
  <si>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</si>
  <si>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</si>
  <si>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</si>
  <si>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</si>
  <si>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</si>
  <si>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</si>
  <si>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</si>
  <si>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</si>
  <si>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</si>
  <si>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</si>
  <si>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</si>
  <si>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</si>
  <si>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</si>
  <si>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</si>
  <si>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</si>
  <si>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</si>
  <si>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</si>
  <si>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</si>
  <si>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</si>
  <si>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</si>
  <si>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</si>
  <si>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</si>
  <si>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</si>
  <si>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</si>
  <si>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</si>
  <si>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</si>
  <si>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</si>
  <si>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</si>
  <si>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</si>
  <si>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</si>
  <si>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</si>
  <si>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</si>
  <si>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</si>
  <si>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</si>
  <si>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</si>
  <si>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</si>
  <si>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</si>
  <si>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</si>
  <si>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</si>
  <si>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</si>
  <si>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</si>
  <si>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</si>
  <si>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</si>
  <si>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</si>
  <si>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</si>
  <si>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</si>
  <si>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</si>
  <si>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</si>
  <si>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</si>
  <si>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</si>
  <si>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</si>
  <si>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</si>
  <si>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</si>
  <si>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</si>
  <si>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</si>
  <si>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</si>
  <si>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</si>
  <si>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</si>
  <si>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</si>
  <si>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</si>
  <si>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</si>
  <si>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</si>
  <si>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</si>
  <si>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</si>
  <si>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</si>
  <si>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</si>
  <si>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</si>
  <si>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</si>
  <si>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</si>
  <si>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</si>
  <si>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</si>
  <si>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</si>
  <si>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</si>
  <si>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</si>
  <si>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</si>
  <si>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</si>
  <si>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</si>
  <si>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</si>
  <si>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</si>
  <si>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</si>
  <si>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</si>
  <si>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</si>
  <si>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</si>
  <si>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</si>
  <si>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</si>
  <si>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</si>
  <si>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</si>
  <si>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</si>
  <si>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</si>
  <si>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</si>
  <si>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</si>
  <si>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</si>
  <si>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</si>
  <si>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</si>
  <si>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</si>
  <si>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</si>
  <si>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</si>
  <si>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</si>
  <si>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</si>
  <si>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</si>
  <si>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</si>
  <si>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</si>
  <si>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</si>
  <si>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</si>
  <si>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</si>
  <si>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</si>
  <si>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</si>
  <si>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</si>
  <si>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</si>
  <si>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</si>
  <si>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</si>
  <si>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</si>
  <si>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</si>
  <si>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</si>
  <si>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</si>
  <si>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</si>
  <si>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</si>
  <si>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</si>
  <si>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</si>
  <si>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</si>
  <si>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</si>
  <si>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</si>
  <si>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</si>
  <si>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</si>
  <si>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</si>
  <si>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</si>
  <si>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</si>
  <si>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</si>
  <si>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</si>
  <si>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</si>
  <si>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</si>
  <si>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</si>
  <si>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</si>
  <si>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</si>
  <si>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</si>
  <si>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</si>
  <si>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</si>
  <si>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</si>
  <si>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</si>
  <si>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</si>
  <si>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</si>
  <si>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</si>
  <si>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</si>
  <si>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</si>
  <si>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</si>
  <si>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</si>
  <si>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</si>
  <si>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</si>
  <si>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</si>
  <si>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</si>
  <si>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</si>
  <si>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</si>
  <si>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</si>
  <si>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</si>
  <si>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</si>
  <si>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</si>
  <si>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</si>
  <si>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</si>
  <si>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</si>
  <si>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</si>
  <si>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</si>
  <si>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</si>
  <si>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</si>
  <si>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</si>
  <si>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</si>
  <si>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</si>
  <si>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</si>
  <si>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</si>
  <si>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</si>
  <si>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</si>
  <si>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</si>
  <si>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</si>
  <si>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</si>
  <si>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</si>
  <si>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</si>
  <si>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</si>
  <si>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</si>
  <si>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</si>
  <si>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</si>
  <si>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</si>
  <si>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</si>
  <si>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</si>
  <si>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</si>
  <si>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</si>
  <si>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</si>
  <si>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</si>
  <si>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</si>
  <si>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</si>
  <si>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</si>
  <si>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</si>
  <si>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</si>
  <si>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</si>
  <si>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</si>
  <si>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</si>
  <si>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</si>
  <si>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</si>
  <si>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</si>
  <si>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</si>
  <si>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</si>
  <si>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</si>
  <si>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</si>
  <si>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</si>
  <si>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</si>
  <si>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</si>
  <si>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</si>
  <si>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</si>
  <si>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</si>
  <si>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</si>
  <si>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</si>
  <si>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</si>
  <si>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</si>
  <si>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</si>
  <si>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</si>
  <si>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</si>
  <si>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</si>
  <si>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</si>
  <si>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</si>
  <si>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</si>
  <si>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</si>
  <si>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</si>
  <si>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</si>
  <si>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</si>
  <si>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</si>
  <si>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</si>
  <si>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</si>
  <si>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</si>
  <si>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</si>
  <si>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</si>
  <si>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</si>
  <si>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</si>
  <si>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</si>
  <si>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</si>
  <si>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</si>
  <si>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</si>
  <si>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</si>
  <si>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</si>
  <si>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</si>
  <si>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</si>
  <si>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</si>
  <si>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</si>
  <si>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</si>
  <si>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</si>
  <si>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</si>
  <si>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</si>
  <si>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</si>
  <si>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</si>
  <si>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</si>
  <si>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</si>
  <si>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</si>
  <si>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</si>
  <si>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</si>
  <si>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</si>
  <si>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</si>
  <si>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</si>
  <si>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</si>
  <si>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</si>
  <si>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</si>
  <si>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</si>
  <si>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</si>
  <si>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</si>
  <si>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</si>
  <si>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</si>
  <si>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</si>
  <si>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</si>
  <si>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</si>
  <si>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</si>
  <si>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</si>
  <si>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</si>
  <si>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</si>
  <si>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</si>
  <si>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</si>
  <si>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</si>
  <si>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</si>
  <si>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</si>
  <si>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</si>
  <si>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</si>
  <si>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</si>
  <si>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</si>
  <si>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</si>
  <si>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</si>
  <si>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</si>
  <si>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</si>
  <si>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</si>
  <si>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</si>
  <si>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</si>
  <si>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</si>
  <si>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</si>
  <si>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</si>
  <si>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</si>
  <si>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</si>
  <si>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</si>
  <si>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</si>
  <si>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</si>
  <si>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</si>
  <si>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</si>
  <si>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</si>
  <si>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</si>
  <si>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</si>
  <si>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</si>
  <si>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</si>
  <si>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</si>
  <si>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</si>
  <si>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</si>
  <si>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</si>
  <si>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</si>
  <si>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</si>
  <si>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</si>
  <si>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</si>
  <si>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</si>
  <si>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</si>
  <si>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</si>
  <si>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</si>
  <si>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</si>
  <si>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</si>
  <si>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</si>
  <si>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</si>
  <si>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</si>
  <si>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</si>
  <si>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</si>
  <si>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</si>
  <si>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</si>
  <si>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</si>
  <si>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</si>
  <si>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</si>
  <si>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</si>
  <si>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</si>
  <si>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</si>
  <si>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</si>
  <si>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</si>
  <si>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</si>
  <si>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</si>
  <si>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</si>
  <si>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</si>
  <si>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</si>
  <si>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</si>
  <si>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</si>
  <si>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</si>
  <si>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</si>
  <si>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</si>
  <si>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</si>
  <si>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</si>
  <si>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</si>
  <si>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</si>
  <si>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</si>
  <si>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</si>
  <si>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</si>
  <si>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</si>
  <si>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</si>
  <si>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</si>
  <si>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</si>
  <si>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</si>
  <si>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</si>
  <si>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</si>
  <si>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</si>
  <si>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</si>
  <si>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</si>
  <si>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</si>
  <si>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</si>
  <si>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</si>
  <si>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</si>
  <si>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</si>
  <si>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</si>
  <si>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RWT8(3-F028)HBF</t>
  </si>
  <si>
    <t>Sylvania QHE4X32T8/UNV ISN-SC</t>
  </si>
  <si>
    <t>Fluorescent, (3) 48", HPT8 28W lamp, Instant or Program Start Ballast, (&gt;/= 0.95)</t>
  </si>
  <si>
    <t>v2.3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</si>
</sst>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4" tint="0.79998168889431442"/>
        <bgColor indexed="65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8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  <xf numFmtId="0" fontId="36" fillId="11" borderId="0" applyNumberFormat="0" applyBorder="0" applyAlignment="0" applyProtection="0"/>
  </cellStyleXfs>
  <cellXfs count="443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43" xfId="0" applyFont="1" applyFill="1" applyBorder="1" applyAlignment="1">
      <alignment horizontal="center" vertical="center" wrapText="1"/>
    </xf>
    <xf numFmtId="0" fontId="61" fillId="2" borderId="4" xfId="0" applyFont="1" applyFill="1" applyBorder="1" applyAlignment="1">
      <alignment horizontal="center" vertical="center"/>
    </xf>
    <xf numFmtId="0" fontId="62" fillId="7" borderId="53" xfId="0" applyFont="1" applyFill="1" applyBorder="1" applyAlignment="1">
      <alignment horizontal="center" vertical="center" wrapText="1"/>
    </xf>
    <xf numFmtId="0" fontId="62" fillId="0" borderId="53" xfId="0" applyFont="1" applyFill="1" applyBorder="1" applyAlignment="1">
      <alignment horizontal="center" vertical="center" wrapText="1"/>
    </xf>
    <xf numFmtId="0" fontId="61" fillId="7" borderId="53" xfId="0" applyFont="1" applyFill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7" borderId="54" xfId="0" applyFont="1" applyFill="1" applyBorder="1" applyAlignment="1">
      <alignment horizontal="center" vertical="center"/>
    </xf>
    <xf numFmtId="0" fontId="60" fillId="9" borderId="4" xfId="0" applyNumberFormat="1" applyFont="1" applyFill="1" applyBorder="1" applyAlignment="1">
      <alignment horizontal="center" vertical="center" wrapText="1"/>
    </xf>
    <xf numFmtId="0" fontId="0" fillId="10" borderId="1" xfId="0" applyFont="1" applyFill="1" applyBorder="1"/>
    <xf numFmtId="0" fontId="0" fillId="10" borderId="48" xfId="0" applyFont="1" applyFill="1" applyBorder="1"/>
    <xf numFmtId="0" fontId="61" fillId="0" borderId="5" xfId="0" applyFont="1" applyBorder="1" applyAlignment="1">
      <alignment horizontal="center" vertical="center"/>
    </xf>
    <xf numFmtId="0" fontId="62" fillId="7" borderId="5" xfId="0" applyFont="1" applyFill="1" applyBorder="1" applyAlignment="1">
      <alignment horizontal="center" vertical="center" wrapText="1"/>
    </xf>
    <xf numFmtId="0" fontId="62" fillId="0" borderId="5" xfId="0" applyFont="1" applyFill="1" applyBorder="1" applyAlignment="1">
      <alignment horizontal="center" vertical="center" wrapText="1"/>
    </xf>
    <xf numFmtId="0" fontId="61" fillId="7" borderId="5" xfId="0" applyFont="1" applyFill="1" applyBorder="1" applyAlignment="1">
      <alignment horizontal="center" vertical="center"/>
    </xf>
    <xf numFmtId="0" fontId="61" fillId="0" borderId="5" xfId="0" applyFont="1" applyFill="1" applyBorder="1" applyAlignment="1">
      <alignment horizontal="center" vertical="center"/>
    </xf>
    <xf numFmtId="0" fontId="61" fillId="0" borderId="55" xfId="0" applyFont="1" applyFill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1" fillId="2" borderId="5" xfId="0" applyFont="1" applyFill="1" applyBorder="1" applyAlignment="1">
      <alignment horizontal="center" vertical="center"/>
    </xf>
    <xf numFmtId="0" fontId="61" fillId="2" borderId="6" xfId="0" applyFont="1" applyFill="1" applyBorder="1" applyAlignment="1">
      <alignment horizontal="center" vertical="center"/>
    </xf>
    <xf numFmtId="0" fontId="27" fillId="11" borderId="11" xfId="7" applyFont="1" applyBorder="1" applyAlignment="1">
      <alignment horizontal="left" wrapText="1"/>
    </xf>
    <xf numFmtId="0" fontId="27" fillId="11" borderId="26" xfId="7" applyFont="1" applyBorder="1" applyAlignment="1">
      <alignment horizontal="left" wrapText="1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27" fillId="11" borderId="1" xfId="7" applyFont="1" applyBorder="1" applyAlignment="1">
      <alignment horizontal="left" wrapText="1"/>
    </xf>
    <xf numFmtId="0" fontId="27" fillId="11" borderId="29" xfId="7" applyFont="1" applyBorder="1" applyAlignment="1">
      <alignment horizontal="left" wrapText="1"/>
    </xf>
    <xf numFmtId="0" fontId="27" fillId="11" borderId="39" xfId="7" applyFont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6" xfId="0" applyFont="1" applyFill="1" applyBorder="1" applyAlignment="1">
      <alignment horizontal="center" vertical="center" wrapText="1"/>
    </xf>
    <xf numFmtId="0" fontId="62" fillId="0" borderId="57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</cellXfs>
  <cellStyles count="8">
    <cellStyle name="20% - Accent1" xfId="7" builtinId="30"/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320040</xdr:colOff>
          <xdr:row>1</xdr:row>
          <xdr:rowOff>358140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0</xdr:row>
          <xdr:rowOff>137160</xdr:rowOff>
        </xdr:from>
        <xdr:to>
          <xdr:col>2</xdr:col>
          <xdr:colOff>68580</xdr:colOff>
          <xdr:row>0</xdr:row>
          <xdr:rowOff>815340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730</v>
      </c>
      <c r="B1" s="292"/>
      <c r="C1" s="211"/>
      <c r="D1" s="161"/>
      <c r="E1" s="162"/>
      <c r="F1" s="162"/>
      <c r="G1" s="163" t="s">
        <v>37</v>
      </c>
      <c r="H1" s="293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6" t="s">
        <v>632</v>
      </c>
    </row>
    <row r="2" spans="1:36" s="165" customFormat="1" ht="65.400000000000006" customHeight="1" x14ac:dyDescent="0.4">
      <c r="A2" s="222" t="s">
        <v>43</v>
      </c>
      <c r="B2" s="293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6" t="s">
        <v>633</v>
      </c>
    </row>
    <row r="3" spans="1:36" s="165" customFormat="1" ht="69.599999999999994" customHeight="1" x14ac:dyDescent="0.4">
      <c r="A3" s="189" t="s">
        <v>286</v>
      </c>
      <c r="B3" s="293"/>
      <c r="C3" s="173"/>
      <c r="D3" s="170" t="s">
        <v>300</v>
      </c>
      <c r="E3" s="293"/>
      <c r="F3" s="169"/>
      <c r="G3" s="407" t="s">
        <v>301</v>
      </c>
      <c r="H3" s="408"/>
      <c r="I3" s="214"/>
      <c r="J3" s="242" t="s">
        <v>302</v>
      </c>
      <c r="K3" s="214"/>
      <c r="L3" s="208"/>
      <c r="O3" s="171"/>
      <c r="P3" s="171"/>
      <c r="Q3" s="167"/>
      <c r="AD3" s="326" t="s">
        <v>634</v>
      </c>
    </row>
    <row r="4" spans="1:36" s="165" customFormat="1" ht="72.75" customHeight="1" x14ac:dyDescent="0.4">
      <c r="A4" s="189" t="s">
        <v>44</v>
      </c>
      <c r="B4" s="293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6" t="s">
        <v>635</v>
      </c>
    </row>
    <row r="5" spans="1:36" s="165" customFormat="1" ht="33" customHeight="1" x14ac:dyDescent="0.4">
      <c r="A5" s="222" t="s">
        <v>298</v>
      </c>
      <c r="B5" s="293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5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4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58"/>
      <c r="AI7" s="362" t="s">
        <v>732</v>
      </c>
    </row>
    <row r="8" spans="1:36" ht="39.75" customHeight="1" x14ac:dyDescent="0.55000000000000004">
      <c r="A8" s="222" t="s">
        <v>42</v>
      </c>
      <c r="B8" s="295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0" t="s">
        <v>728</v>
      </c>
      <c r="AJ8" s="359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0" t="s">
        <v>729</v>
      </c>
      <c r="AJ9" s="359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7" t="s">
        <v>636</v>
      </c>
      <c r="AI10" s="360" t="s">
        <v>245</v>
      </c>
      <c r="AJ10" s="359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6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0" t="s">
        <v>639</v>
      </c>
      <c r="AI11" s="360" t="s">
        <v>252</v>
      </c>
      <c r="AJ11" s="359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409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28" t="s">
        <v>640</v>
      </c>
      <c r="AI12" s="360" t="s">
        <v>731</v>
      </c>
      <c r="AJ12" s="361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410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29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4"/>
      <c r="I14" s="325"/>
      <c r="J14" s="243"/>
      <c r="K14" s="357"/>
      <c r="N14" s="279">
        <f t="shared" ref="N14:N20" si="0">IF(ISBLANK(H14), 0, 1)</f>
        <v>0</v>
      </c>
      <c r="O14" s="280">
        <f>(I14-H14)*24</f>
        <v>0</v>
      </c>
      <c r="S14" s="283"/>
      <c r="T14" s="166"/>
      <c r="U14" s="166"/>
      <c r="V14" s="166"/>
      <c r="Z14" s="180" t="str">
        <f>IF(N14=1, "Mon:", "")</f>
        <v/>
      </c>
      <c r="AA14" s="275" t="str">
        <f t="shared" ref="AA14:AA20" si="1">IF(N14=1, TEXT(TIME(HOUR(H14), MINUTE(H14), SECOND(H14)), " h:mm AM/PM-"), "")</f>
        <v/>
      </c>
      <c r="AB14" s="275" t="str">
        <f>IF(N14=1, TEXT(TIME(HOUR(I14), MINUTE(I14), SECOND(I14)), "h:mm AM/PM "), "")</f>
        <v/>
      </c>
      <c r="AD14" s="327" t="s">
        <v>642</v>
      </c>
    </row>
    <row r="15" spans="1:36" ht="36.75" customHeight="1" x14ac:dyDescent="0.4">
      <c r="A15" s="168" t="s">
        <v>78</v>
      </c>
      <c r="B15" s="296"/>
      <c r="C15" s="166"/>
      <c r="D15" s="170" t="s">
        <v>299</v>
      </c>
      <c r="E15" s="297"/>
      <c r="F15" s="170"/>
      <c r="G15" s="187" t="s">
        <v>49</v>
      </c>
      <c r="H15" s="324"/>
      <c r="I15" s="325"/>
      <c r="J15" s="188"/>
      <c r="N15" s="279">
        <f t="shared" si="0"/>
        <v>0</v>
      </c>
      <c r="O15" s="280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5" t="str">
        <f t="shared" si="1"/>
        <v/>
      </c>
      <c r="AB15" s="275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298"/>
      <c r="F16" s="170"/>
      <c r="G16" s="187" t="s">
        <v>50</v>
      </c>
      <c r="H16" s="324"/>
      <c r="I16" s="325"/>
      <c r="J16" s="188"/>
      <c r="N16" s="279">
        <f t="shared" si="0"/>
        <v>0</v>
      </c>
      <c r="O16" s="280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5" t="str">
        <f t="shared" si="1"/>
        <v/>
      </c>
      <c r="AB16" s="275" t="str">
        <f t="shared" si="3"/>
        <v/>
      </c>
      <c r="AD16" s="331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4"/>
      <c r="I17" s="325"/>
      <c r="J17" s="188"/>
      <c r="N17" s="279">
        <f t="shared" si="0"/>
        <v>0</v>
      </c>
      <c r="O17" s="280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5" t="str">
        <f t="shared" si="1"/>
        <v/>
      </c>
      <c r="AB17" s="275" t="str">
        <f>IF(N17=1, TEXT(TIME(HOUR(I17), MINUTE(I17), SECOND(I17)), "h:mm AM/PM "), "")</f>
        <v/>
      </c>
      <c r="AD17" s="331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4"/>
      <c r="I18" s="325"/>
      <c r="J18" s="188"/>
      <c r="N18" s="279">
        <f t="shared" si="0"/>
        <v>0</v>
      </c>
      <c r="O18" s="280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5" t="str">
        <f t="shared" si="1"/>
        <v/>
      </c>
      <c r="AB18" s="275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4"/>
      <c r="I19" s="325"/>
      <c r="J19" s="188"/>
      <c r="N19" s="279">
        <f t="shared" si="0"/>
        <v>0</v>
      </c>
      <c r="O19" s="280">
        <f t="shared" si="2"/>
        <v>0</v>
      </c>
      <c r="R19" s="181"/>
      <c r="S19" s="166"/>
      <c r="T19" s="166"/>
      <c r="Z19" s="180" t="str">
        <f>IF(N19=1, "Sat:", "")</f>
        <v/>
      </c>
      <c r="AA19" s="275" t="str">
        <f t="shared" si="1"/>
        <v/>
      </c>
      <c r="AB19" s="275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4"/>
      <c r="I20" s="325"/>
      <c r="J20" s="188"/>
      <c r="M20" s="194"/>
      <c r="N20" s="279">
        <f t="shared" si="0"/>
        <v>0</v>
      </c>
      <c r="O20" s="280">
        <f t="shared" si="2"/>
        <v>0</v>
      </c>
      <c r="Z20" s="180" t="str">
        <f>IF(N20=1, "Sun:", "")</f>
        <v/>
      </c>
      <c r="AA20" s="275" t="str">
        <f t="shared" si="1"/>
        <v/>
      </c>
      <c r="AB20" s="275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6" t="s">
        <v>562</v>
      </c>
      <c r="O21" s="277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8">
        <f>SUM(N14:N20)</f>
        <v>0</v>
      </c>
      <c r="O22" s="281">
        <f>SUM(O14:O20)</f>
        <v>0</v>
      </c>
      <c r="P22" s="282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0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0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750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733</v>
      </c>
      <c r="B61" t="s">
        <v>734</v>
      </c>
      <c r="C61" t="s">
        <v>735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320040</xdr:colOff>
                <xdr:row>1</xdr:row>
                <xdr:rowOff>358140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4">
      <c r="A1" s="411" t="s">
        <v>289</v>
      </c>
      <c r="B1" s="411"/>
      <c r="C1" s="411"/>
      <c r="D1" s="412" t="s">
        <v>290</v>
      </c>
      <c r="E1" s="413"/>
      <c r="F1" s="405" t="s">
        <v>544</v>
      </c>
      <c r="G1" s="406" t="s">
        <v>544</v>
      </c>
      <c r="H1" s="24"/>
      <c r="I1" s="24"/>
      <c r="J1" s="24"/>
      <c r="AD1" s="347" t="s">
        <v>80</v>
      </c>
      <c r="AE1" s="347" t="s">
        <v>1</v>
      </c>
      <c r="AF1" s="347" t="s">
        <v>1</v>
      </c>
    </row>
    <row r="2" spans="1:32" s="2" customFormat="1" ht="41.25" customHeight="1" x14ac:dyDescent="0.35">
      <c r="A2" s="299"/>
      <c r="B2" s="219"/>
      <c r="C2" s="217"/>
      <c r="D2" s="300" t="s">
        <v>643</v>
      </c>
      <c r="E2" s="218"/>
      <c r="F2" s="301" t="str">
        <f>IF(D2="", D3, VLOOKUP(D2, AD1:AF44, 3, FALSE))</f>
        <v/>
      </c>
      <c r="G2" s="302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7" t="s">
        <v>81</v>
      </c>
      <c r="AE2" s="347" t="s">
        <v>1</v>
      </c>
      <c r="AF2" s="347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6" t="str">
        <f>""</f>
        <v/>
      </c>
      <c r="E3" s="219" t="s">
        <v>297</v>
      </c>
      <c r="F3" s="290" t="str">
        <f>IF(F2="Other", D2, "")</f>
        <v/>
      </c>
      <c r="G3" s="291" t="str">
        <f>IF(G2="Other", D2, "")</f>
        <v/>
      </c>
      <c r="H3" s="24"/>
      <c r="I3" s="24"/>
      <c r="J3" s="24"/>
      <c r="AD3" s="347" t="s">
        <v>82</v>
      </c>
      <c r="AE3" s="347" t="s">
        <v>1</v>
      </c>
      <c r="AF3" s="347" t="s">
        <v>1</v>
      </c>
    </row>
    <row r="4" spans="1:32" s="2" customFormat="1" ht="18" customHeight="1" x14ac:dyDescent="0.3">
      <c r="A4" s="287" t="s">
        <v>79</v>
      </c>
      <c r="B4" s="50"/>
      <c r="C4" s="50"/>
      <c r="D4" s="40" t="s">
        <v>80</v>
      </c>
      <c r="E4" s="51"/>
      <c r="F4" s="286" t="s">
        <v>547</v>
      </c>
      <c r="G4" s="274" t="s">
        <v>545</v>
      </c>
      <c r="H4" s="24"/>
      <c r="I4" s="24"/>
      <c r="J4" s="24"/>
      <c r="AD4" s="347" t="s">
        <v>83</v>
      </c>
      <c r="AE4" s="347" t="s">
        <v>1</v>
      </c>
      <c r="AF4" s="347" t="s">
        <v>1</v>
      </c>
    </row>
    <row r="5" spans="1:32" s="2" customFormat="1" ht="18" customHeight="1" x14ac:dyDescent="0.3">
      <c r="A5" s="288" t="s">
        <v>15</v>
      </c>
      <c r="B5" s="1"/>
      <c r="C5" s="1"/>
      <c r="D5" s="39" t="s">
        <v>81</v>
      </c>
      <c r="E5" s="42"/>
      <c r="F5" s="286" t="s">
        <v>548</v>
      </c>
      <c r="G5" s="274" t="s">
        <v>546</v>
      </c>
      <c r="H5" s="24"/>
      <c r="I5" s="24"/>
      <c r="J5" s="24"/>
      <c r="AD5" s="347" t="s">
        <v>84</v>
      </c>
      <c r="AE5" s="347" t="s">
        <v>89</v>
      </c>
      <c r="AF5" s="347" t="s">
        <v>89</v>
      </c>
    </row>
    <row r="6" spans="1:32" s="2" customFormat="1" ht="18" customHeight="1" x14ac:dyDescent="0.3">
      <c r="A6" s="288" t="s">
        <v>92</v>
      </c>
      <c r="B6" s="1"/>
      <c r="C6" s="1"/>
      <c r="D6" s="39" t="s">
        <v>82</v>
      </c>
      <c r="E6" s="42"/>
      <c r="F6" s="286" t="s">
        <v>607</v>
      </c>
      <c r="G6" s="274" t="s">
        <v>547</v>
      </c>
      <c r="H6" s="24"/>
      <c r="I6" s="24"/>
      <c r="J6" s="24"/>
      <c r="AD6" s="347" t="s">
        <v>85</v>
      </c>
      <c r="AE6" s="347" t="s">
        <v>552</v>
      </c>
      <c r="AF6" s="347" t="s">
        <v>15</v>
      </c>
    </row>
    <row r="7" spans="1:32" s="2" customFormat="1" ht="18" customHeight="1" x14ac:dyDescent="0.3">
      <c r="A7" s="288" t="s">
        <v>102</v>
      </c>
      <c r="B7" s="1"/>
      <c r="C7" s="1"/>
      <c r="D7" s="39" t="s">
        <v>83</v>
      </c>
      <c r="E7" s="42"/>
      <c r="F7" s="286" t="s">
        <v>15</v>
      </c>
      <c r="G7" s="274" t="s">
        <v>548</v>
      </c>
      <c r="H7" s="24"/>
      <c r="I7" s="24"/>
      <c r="J7" s="24"/>
      <c r="AD7" s="347" t="s">
        <v>86</v>
      </c>
      <c r="AE7" s="347" t="s">
        <v>552</v>
      </c>
      <c r="AF7" s="347" t="s">
        <v>15</v>
      </c>
    </row>
    <row r="8" spans="1:32" s="2" customFormat="1" ht="18" customHeight="1" x14ac:dyDescent="0.3">
      <c r="A8" s="288" t="s">
        <v>109</v>
      </c>
      <c r="B8" s="1"/>
      <c r="C8" s="1"/>
      <c r="D8" s="39" t="s">
        <v>84</v>
      </c>
      <c r="E8" s="42"/>
      <c r="F8" s="286" t="s">
        <v>608</v>
      </c>
      <c r="G8" s="274" t="s">
        <v>549</v>
      </c>
      <c r="H8" s="24"/>
      <c r="I8" s="24"/>
      <c r="J8" s="24"/>
      <c r="AD8" s="347" t="s">
        <v>87</v>
      </c>
      <c r="AE8" s="347" t="s">
        <v>552</v>
      </c>
      <c r="AF8" s="347" t="s">
        <v>15</v>
      </c>
    </row>
    <row r="9" spans="1:32" s="2" customFormat="1" ht="18" customHeight="1" x14ac:dyDescent="0.3">
      <c r="A9" s="288" t="s">
        <v>114</v>
      </c>
      <c r="B9" s="41"/>
      <c r="C9" s="41"/>
      <c r="D9" s="29" t="s">
        <v>85</v>
      </c>
      <c r="E9" s="52"/>
      <c r="F9" s="286" t="s">
        <v>609</v>
      </c>
      <c r="G9" s="274" t="s">
        <v>550</v>
      </c>
      <c r="H9" s="24"/>
      <c r="I9" s="24"/>
      <c r="J9" s="24"/>
      <c r="AD9" s="347" t="s">
        <v>88</v>
      </c>
      <c r="AE9" s="347" t="s">
        <v>552</v>
      </c>
      <c r="AF9" s="347" t="s">
        <v>15</v>
      </c>
    </row>
    <row r="10" spans="1:32" s="2" customFormat="1" ht="18" customHeight="1" x14ac:dyDescent="0.3">
      <c r="A10" s="288" t="s">
        <v>118</v>
      </c>
      <c r="B10" s="50"/>
      <c r="C10" s="50"/>
      <c r="D10" s="40" t="s">
        <v>86</v>
      </c>
      <c r="E10" s="51"/>
      <c r="F10" s="286" t="s">
        <v>610</v>
      </c>
      <c r="G10" s="274" t="s">
        <v>551</v>
      </c>
      <c r="H10" s="24"/>
      <c r="I10" s="24"/>
      <c r="J10" s="24"/>
      <c r="AD10" s="347" t="s">
        <v>89</v>
      </c>
      <c r="AE10" s="347" t="s">
        <v>89</v>
      </c>
      <c r="AF10" s="347" t="s">
        <v>89</v>
      </c>
    </row>
    <row r="11" spans="1:32" s="2" customFormat="1" ht="18" customHeight="1" x14ac:dyDescent="0.3">
      <c r="A11" s="288" t="s">
        <v>121</v>
      </c>
      <c r="B11" s="1"/>
      <c r="C11" s="1"/>
      <c r="D11" s="39" t="s">
        <v>87</v>
      </c>
      <c r="E11" s="42"/>
      <c r="F11" s="286" t="s">
        <v>611</v>
      </c>
      <c r="G11" s="274" t="s">
        <v>552</v>
      </c>
      <c r="H11" s="24"/>
      <c r="I11" s="24"/>
      <c r="J11" s="24"/>
      <c r="AD11" s="347" t="s">
        <v>90</v>
      </c>
      <c r="AE11" s="347" t="s">
        <v>1</v>
      </c>
      <c r="AF11" s="347" t="s">
        <v>15</v>
      </c>
    </row>
    <row r="12" spans="1:32" s="2" customFormat="1" ht="18" customHeight="1" x14ac:dyDescent="0.3">
      <c r="A12" s="288" t="s">
        <v>189</v>
      </c>
      <c r="B12" s="1"/>
      <c r="C12" s="1"/>
      <c r="D12" s="39" t="s">
        <v>88</v>
      </c>
      <c r="E12" s="42"/>
      <c r="F12" s="286" t="s">
        <v>558</v>
      </c>
      <c r="G12" s="274" t="s">
        <v>553</v>
      </c>
      <c r="H12" s="24"/>
      <c r="I12" s="24"/>
      <c r="J12" s="24"/>
      <c r="AD12" s="347" t="s">
        <v>91</v>
      </c>
      <c r="AE12" s="347" t="s">
        <v>1</v>
      </c>
      <c r="AF12" s="347" t="s">
        <v>15</v>
      </c>
    </row>
    <row r="13" spans="1:32" s="2" customFormat="1" ht="18" customHeight="1" x14ac:dyDescent="0.3">
      <c r="A13" s="289"/>
      <c r="B13" s="1"/>
      <c r="C13" s="1"/>
      <c r="D13" s="39" t="s">
        <v>89</v>
      </c>
      <c r="E13" s="42"/>
      <c r="F13" s="286" t="s">
        <v>559</v>
      </c>
      <c r="G13" s="274" t="s">
        <v>554</v>
      </c>
      <c r="H13" s="24"/>
      <c r="I13" s="24"/>
      <c r="J13" s="24"/>
      <c r="AD13" s="347" t="s">
        <v>93</v>
      </c>
      <c r="AE13" s="347" t="s">
        <v>553</v>
      </c>
      <c r="AF13" s="347" t="s">
        <v>610</v>
      </c>
    </row>
    <row r="14" spans="1:32" s="2" customFormat="1" ht="18" customHeight="1" x14ac:dyDescent="0.3">
      <c r="A14" s="289"/>
      <c r="B14" s="1"/>
      <c r="C14" s="1"/>
      <c r="D14" s="39" t="s">
        <v>90</v>
      </c>
      <c r="E14" s="42"/>
      <c r="F14" s="286" t="s">
        <v>546</v>
      </c>
      <c r="G14" s="274" t="s">
        <v>555</v>
      </c>
      <c r="H14" s="24"/>
      <c r="I14" s="24"/>
      <c r="J14" s="24"/>
      <c r="AD14" s="347" t="s">
        <v>94</v>
      </c>
      <c r="AE14" s="347" t="s">
        <v>559</v>
      </c>
      <c r="AF14" s="347" t="s">
        <v>559</v>
      </c>
    </row>
    <row r="15" spans="1:32" s="2" customFormat="1" ht="18" customHeight="1" x14ac:dyDescent="0.3">
      <c r="A15" s="289"/>
      <c r="B15" s="41"/>
      <c r="C15" s="41"/>
      <c r="D15" s="29" t="s">
        <v>91</v>
      </c>
      <c r="E15" s="52"/>
      <c r="F15" s="286" t="s">
        <v>89</v>
      </c>
      <c r="G15" s="274" t="s">
        <v>1</v>
      </c>
      <c r="H15" s="24"/>
      <c r="I15" s="24"/>
      <c r="J15" s="24"/>
      <c r="AD15" s="347" t="s">
        <v>95</v>
      </c>
      <c r="AE15" s="347" t="s">
        <v>559</v>
      </c>
      <c r="AF15" s="347" t="s">
        <v>559</v>
      </c>
    </row>
    <row r="16" spans="1:32" s="2" customFormat="1" ht="18" customHeight="1" x14ac:dyDescent="0.3">
      <c r="A16" s="289"/>
      <c r="B16" s="50"/>
      <c r="C16" s="50"/>
      <c r="D16" s="40" t="s">
        <v>93</v>
      </c>
      <c r="E16" s="51"/>
      <c r="F16" s="286" t="s">
        <v>1</v>
      </c>
      <c r="G16" s="274" t="s">
        <v>556</v>
      </c>
      <c r="H16" s="24"/>
      <c r="I16" s="24"/>
      <c r="J16" s="24"/>
      <c r="AD16" s="347" t="s">
        <v>96</v>
      </c>
      <c r="AE16" s="347" t="s">
        <v>547</v>
      </c>
      <c r="AF16" s="347" t="s">
        <v>547</v>
      </c>
    </row>
    <row r="17" spans="1:32" s="2" customFormat="1" ht="18" customHeight="1" x14ac:dyDescent="0.3">
      <c r="A17" s="289"/>
      <c r="B17" s="1"/>
      <c r="C17" s="1"/>
      <c r="D17" s="39" t="s">
        <v>94</v>
      </c>
      <c r="E17" s="42"/>
      <c r="F17" s="286"/>
      <c r="G17" s="274" t="s">
        <v>557</v>
      </c>
      <c r="H17" s="24"/>
      <c r="I17" s="24"/>
      <c r="J17" s="24"/>
      <c r="AD17" s="347" t="s">
        <v>89</v>
      </c>
      <c r="AE17" s="347" t="s">
        <v>89</v>
      </c>
      <c r="AF17" s="347" t="s">
        <v>89</v>
      </c>
    </row>
    <row r="18" spans="1:32" s="2" customFormat="1" ht="18" customHeight="1" x14ac:dyDescent="0.3">
      <c r="A18" s="289"/>
      <c r="B18" s="1"/>
      <c r="C18" s="1"/>
      <c r="D18" s="39" t="s">
        <v>95</v>
      </c>
      <c r="E18" s="42"/>
      <c r="F18" s="286"/>
      <c r="G18" s="274" t="s">
        <v>558</v>
      </c>
      <c r="H18" s="24"/>
      <c r="I18" s="24"/>
      <c r="J18" s="24"/>
      <c r="AD18" s="347" t="s">
        <v>97</v>
      </c>
      <c r="AE18" s="347" t="s">
        <v>547</v>
      </c>
      <c r="AF18" s="347" t="s">
        <v>547</v>
      </c>
    </row>
    <row r="19" spans="1:32" s="2" customFormat="1" ht="18" customHeight="1" x14ac:dyDescent="0.3">
      <c r="A19" s="289"/>
      <c r="B19" s="1"/>
      <c r="C19" s="1"/>
      <c r="D19" s="39" t="s">
        <v>96</v>
      </c>
      <c r="E19" s="42"/>
      <c r="F19" s="286"/>
      <c r="G19" s="274" t="s">
        <v>559</v>
      </c>
      <c r="H19" s="24"/>
      <c r="I19" s="24"/>
      <c r="J19" s="24"/>
      <c r="AD19" s="347" t="s">
        <v>98</v>
      </c>
      <c r="AE19" s="347" t="s">
        <v>550</v>
      </c>
      <c r="AF19" s="347" t="s">
        <v>608</v>
      </c>
    </row>
    <row r="20" spans="1:32" s="2" customFormat="1" ht="18" customHeight="1" x14ac:dyDescent="0.3">
      <c r="A20" s="289"/>
      <c r="B20" s="1"/>
      <c r="C20" s="1"/>
      <c r="D20" s="39" t="s">
        <v>89</v>
      </c>
      <c r="E20" s="42"/>
      <c r="F20" s="286"/>
      <c r="G20" s="274" t="s">
        <v>89</v>
      </c>
      <c r="H20" s="24"/>
      <c r="I20" s="24"/>
      <c r="J20" s="24"/>
      <c r="AD20" s="347" t="s">
        <v>99</v>
      </c>
      <c r="AE20" s="347" t="s">
        <v>551</v>
      </c>
      <c r="AF20" s="347" t="s">
        <v>608</v>
      </c>
    </row>
    <row r="21" spans="1:32" s="2" customFormat="1" ht="18" customHeight="1" x14ac:dyDescent="0.3">
      <c r="A21" s="289"/>
      <c r="B21" s="1"/>
      <c r="C21" s="1"/>
      <c r="D21" s="39" t="s">
        <v>97</v>
      </c>
      <c r="E21" s="42"/>
      <c r="F21" s="286"/>
      <c r="G21" s="274"/>
      <c r="H21" s="24"/>
      <c r="I21" s="24"/>
      <c r="J21" s="24"/>
      <c r="AD21" s="347" t="s">
        <v>100</v>
      </c>
      <c r="AE21" s="347" t="s">
        <v>555</v>
      </c>
      <c r="AF21" s="347" t="s">
        <v>1</v>
      </c>
    </row>
    <row r="22" spans="1:32" s="2" customFormat="1" ht="18" customHeight="1" x14ac:dyDescent="0.3">
      <c r="A22" s="289"/>
      <c r="B22" s="1"/>
      <c r="C22" s="1"/>
      <c r="D22" s="39" t="s">
        <v>98</v>
      </c>
      <c r="E22" s="42"/>
      <c r="F22" s="286"/>
      <c r="G22" s="274"/>
      <c r="H22" s="24"/>
      <c r="I22" s="24"/>
      <c r="J22" s="24"/>
      <c r="AD22" s="347" t="s">
        <v>101</v>
      </c>
      <c r="AE22" s="347" t="s">
        <v>550</v>
      </c>
      <c r="AF22" s="347" t="s">
        <v>609</v>
      </c>
    </row>
    <row r="23" spans="1:32" s="2" customFormat="1" ht="18" customHeight="1" x14ac:dyDescent="0.3">
      <c r="A23" s="289"/>
      <c r="B23" s="1"/>
      <c r="C23" s="1"/>
      <c r="D23" s="39" t="s">
        <v>99</v>
      </c>
      <c r="E23" s="42"/>
      <c r="F23" s="286"/>
      <c r="G23" s="274"/>
      <c r="H23" s="24"/>
      <c r="I23" s="24"/>
      <c r="J23" s="24"/>
      <c r="AD23" s="347" t="s">
        <v>103</v>
      </c>
      <c r="AE23" s="347" t="s">
        <v>547</v>
      </c>
      <c r="AF23" s="347" t="s">
        <v>547</v>
      </c>
    </row>
    <row r="24" spans="1:32" s="2" customFormat="1" ht="18" customHeight="1" x14ac:dyDescent="0.3">
      <c r="A24" s="289"/>
      <c r="B24" s="1"/>
      <c r="C24" s="1"/>
      <c r="D24" s="39" t="s">
        <v>100</v>
      </c>
      <c r="E24" s="42"/>
      <c r="F24" s="286"/>
      <c r="G24" s="274"/>
      <c r="H24" s="24"/>
      <c r="I24" s="24"/>
      <c r="J24" s="24"/>
      <c r="AD24" s="347" t="s">
        <v>97</v>
      </c>
      <c r="AE24" s="347" t="s">
        <v>547</v>
      </c>
      <c r="AF24" s="347" t="s">
        <v>547</v>
      </c>
    </row>
    <row r="25" spans="1:32" s="2" customFormat="1" ht="18" customHeight="1" x14ac:dyDescent="0.3">
      <c r="A25" s="289"/>
      <c r="B25" s="41"/>
      <c r="C25" s="41"/>
      <c r="D25" s="29" t="s">
        <v>101</v>
      </c>
      <c r="E25" s="52"/>
      <c r="F25" s="286"/>
      <c r="G25" s="274"/>
      <c r="H25" s="24"/>
      <c r="I25" s="24"/>
      <c r="J25" s="24"/>
      <c r="AD25" s="347" t="s">
        <v>104</v>
      </c>
      <c r="AE25" s="347" t="s">
        <v>558</v>
      </c>
      <c r="AF25" s="347" t="s">
        <v>558</v>
      </c>
    </row>
    <row r="26" spans="1:32" s="2" customFormat="1" ht="18" customHeight="1" x14ac:dyDescent="0.3">
      <c r="A26" s="289"/>
      <c r="B26" s="50"/>
      <c r="C26" s="50"/>
      <c r="D26" s="40" t="s">
        <v>103</v>
      </c>
      <c r="E26" s="51"/>
      <c r="F26" s="286"/>
      <c r="G26" s="274"/>
      <c r="H26" s="24"/>
      <c r="I26" s="24"/>
      <c r="J26" s="24"/>
      <c r="AD26" s="347" t="s">
        <v>105</v>
      </c>
      <c r="AE26" s="347" t="s">
        <v>558</v>
      </c>
      <c r="AF26" s="347" t="s">
        <v>558</v>
      </c>
    </row>
    <row r="27" spans="1:32" s="2" customFormat="1" ht="18" customHeight="1" x14ac:dyDescent="0.3">
      <c r="A27" s="289"/>
      <c r="B27" s="1"/>
      <c r="C27" s="1"/>
      <c r="D27" s="39" t="s">
        <v>97</v>
      </c>
      <c r="E27" s="42"/>
      <c r="F27" s="286"/>
      <c r="G27" s="274"/>
      <c r="H27" s="24"/>
      <c r="I27" s="24"/>
      <c r="J27" s="24"/>
      <c r="AD27" s="347" t="s">
        <v>106</v>
      </c>
      <c r="AE27" s="347" t="s">
        <v>559</v>
      </c>
      <c r="AF27" s="347" t="s">
        <v>559</v>
      </c>
    </row>
    <row r="28" spans="1:32" s="2" customFormat="1" ht="18" customHeight="1" x14ac:dyDescent="0.3">
      <c r="A28" s="289"/>
      <c r="B28" s="1"/>
      <c r="C28" s="1"/>
      <c r="D28" s="39" t="s">
        <v>104</v>
      </c>
      <c r="E28" s="42"/>
      <c r="F28" s="286"/>
      <c r="G28" s="274"/>
      <c r="H28" s="24"/>
      <c r="I28" s="24"/>
      <c r="J28" s="24"/>
      <c r="AD28" s="347" t="s">
        <v>107</v>
      </c>
      <c r="AE28" s="347" t="s">
        <v>559</v>
      </c>
      <c r="AF28" s="347" t="s">
        <v>559</v>
      </c>
    </row>
    <row r="29" spans="1:32" s="2" customFormat="1" ht="18" customHeight="1" x14ac:dyDescent="0.3">
      <c r="A29" s="289"/>
      <c r="B29" s="1"/>
      <c r="C29" s="1"/>
      <c r="D29" s="39" t="s">
        <v>105</v>
      </c>
      <c r="E29" s="42"/>
      <c r="F29" s="286"/>
      <c r="G29" s="274"/>
      <c r="H29" s="24"/>
      <c r="I29" s="24"/>
      <c r="J29" s="24"/>
      <c r="AD29" s="347" t="s">
        <v>108</v>
      </c>
      <c r="AE29" s="347" t="s">
        <v>554</v>
      </c>
      <c r="AF29" s="347" t="s">
        <v>610</v>
      </c>
    </row>
    <row r="30" spans="1:32" s="2" customFormat="1" ht="18" customHeight="1" x14ac:dyDescent="0.3">
      <c r="A30" s="289"/>
      <c r="B30" s="1"/>
      <c r="C30" s="1"/>
      <c r="D30" s="39" t="s">
        <v>106</v>
      </c>
      <c r="E30" s="42"/>
      <c r="F30" s="286"/>
      <c r="G30" s="274"/>
      <c r="H30" s="24"/>
      <c r="I30" s="24"/>
      <c r="J30" s="24"/>
      <c r="AD30" s="347" t="s">
        <v>101</v>
      </c>
      <c r="AE30" s="347" t="s">
        <v>550</v>
      </c>
      <c r="AF30" s="347" t="s">
        <v>609</v>
      </c>
    </row>
    <row r="31" spans="1:32" s="2" customFormat="1" ht="18" customHeight="1" x14ac:dyDescent="0.3">
      <c r="A31" s="289"/>
      <c r="B31" s="1"/>
      <c r="C31" s="1"/>
      <c r="D31" s="39" t="s">
        <v>107</v>
      </c>
      <c r="E31" s="42"/>
      <c r="F31" s="286"/>
      <c r="G31" s="274"/>
      <c r="H31" s="24"/>
      <c r="I31" s="24"/>
      <c r="J31" s="24"/>
      <c r="AD31" s="347" t="s">
        <v>110</v>
      </c>
      <c r="AE31" s="347" t="s">
        <v>554</v>
      </c>
      <c r="AF31" s="347" t="s">
        <v>610</v>
      </c>
    </row>
    <row r="32" spans="1:32" s="2" customFormat="1" ht="18" customHeight="1" x14ac:dyDescent="0.3">
      <c r="A32" s="289"/>
      <c r="B32" s="1"/>
      <c r="C32" s="1"/>
      <c r="D32" s="39" t="s">
        <v>108</v>
      </c>
      <c r="E32" s="42"/>
      <c r="F32" s="286"/>
      <c r="G32" s="274"/>
      <c r="H32" s="24"/>
      <c r="I32" s="24"/>
      <c r="J32" s="24"/>
      <c r="AD32" s="347" t="s">
        <v>111</v>
      </c>
      <c r="AE32" s="347" t="s">
        <v>554</v>
      </c>
      <c r="AF32" s="347" t="s">
        <v>610</v>
      </c>
    </row>
    <row r="33" spans="1:32" s="2" customFormat="1" ht="18" customHeight="1" x14ac:dyDescent="0.3">
      <c r="A33" s="289"/>
      <c r="B33" s="41"/>
      <c r="C33" s="41"/>
      <c r="D33" s="29" t="s">
        <v>101</v>
      </c>
      <c r="E33" s="52"/>
      <c r="F33" s="286"/>
      <c r="G33" s="274"/>
      <c r="H33" s="24"/>
      <c r="I33" s="24"/>
      <c r="J33" s="24"/>
      <c r="AD33" s="347" t="s">
        <v>112</v>
      </c>
      <c r="AE33" s="347" t="s">
        <v>554</v>
      </c>
      <c r="AF33" s="347" t="s">
        <v>610</v>
      </c>
    </row>
    <row r="34" spans="1:32" s="2" customFormat="1" ht="18" customHeight="1" x14ac:dyDescent="0.3">
      <c r="A34" s="289"/>
      <c r="B34" s="50"/>
      <c r="C34" s="50"/>
      <c r="D34" s="40" t="s">
        <v>110</v>
      </c>
      <c r="E34" s="51"/>
      <c r="F34" s="286"/>
      <c r="G34" s="274"/>
      <c r="H34" s="24"/>
      <c r="I34" s="24"/>
      <c r="J34" s="24"/>
      <c r="AD34" s="347" t="s">
        <v>113</v>
      </c>
      <c r="AE34" s="347" t="s">
        <v>1</v>
      </c>
      <c r="AF34" s="347" t="s">
        <v>610</v>
      </c>
    </row>
    <row r="35" spans="1:32" s="2" customFormat="1" ht="18" customHeight="1" x14ac:dyDescent="0.3">
      <c r="A35" s="289"/>
      <c r="B35" s="1"/>
      <c r="C35" s="1"/>
      <c r="D35" s="39" t="s">
        <v>111</v>
      </c>
      <c r="E35" s="42"/>
      <c r="F35" s="286"/>
      <c r="G35" s="274"/>
      <c r="H35" s="24"/>
      <c r="I35" s="24"/>
      <c r="J35" s="24"/>
      <c r="AD35" s="347" t="s">
        <v>115</v>
      </c>
      <c r="AE35" s="347" t="s">
        <v>549</v>
      </c>
      <c r="AF35" s="347" t="s">
        <v>548</v>
      </c>
    </row>
    <row r="36" spans="1:32" s="2" customFormat="1" ht="18" customHeight="1" x14ac:dyDescent="0.3">
      <c r="A36" s="289"/>
      <c r="B36" s="1"/>
      <c r="C36" s="1"/>
      <c r="D36" s="39" t="s">
        <v>112</v>
      </c>
      <c r="E36" s="42"/>
      <c r="F36" s="286"/>
      <c r="G36" s="274"/>
      <c r="H36" s="24"/>
      <c r="I36" s="24"/>
      <c r="J36" s="24"/>
      <c r="AD36" s="347" t="s">
        <v>116</v>
      </c>
      <c r="AE36" s="347" t="s">
        <v>548</v>
      </c>
      <c r="AF36" s="347" t="s">
        <v>548</v>
      </c>
    </row>
    <row r="37" spans="1:32" s="2" customFormat="1" ht="18" customHeight="1" x14ac:dyDescent="0.3">
      <c r="A37" s="289"/>
      <c r="B37" s="41"/>
      <c r="C37" s="41"/>
      <c r="D37" s="29" t="s">
        <v>113</v>
      </c>
      <c r="E37" s="52"/>
      <c r="F37" s="286"/>
      <c r="G37" s="274"/>
      <c r="H37" s="24"/>
      <c r="I37" s="24"/>
      <c r="J37" s="24"/>
      <c r="AD37" s="347" t="s">
        <v>117</v>
      </c>
      <c r="AE37" s="347" t="s">
        <v>548</v>
      </c>
      <c r="AF37" s="347" t="s">
        <v>548</v>
      </c>
    </row>
    <row r="38" spans="1:32" s="2" customFormat="1" ht="18" customHeight="1" x14ac:dyDescent="0.3">
      <c r="A38" s="289"/>
      <c r="B38" s="50"/>
      <c r="C38" s="50"/>
      <c r="D38" s="40" t="s">
        <v>115</v>
      </c>
      <c r="E38" s="51"/>
      <c r="F38" s="286"/>
      <c r="G38" s="274"/>
      <c r="H38" s="24"/>
      <c r="I38" s="24"/>
      <c r="J38" s="24"/>
      <c r="AD38" s="347" t="s">
        <v>119</v>
      </c>
      <c r="AE38" s="347" t="s">
        <v>546</v>
      </c>
      <c r="AF38" s="347" t="s">
        <v>546</v>
      </c>
    </row>
    <row r="39" spans="1:32" s="2" customFormat="1" ht="18" customHeight="1" x14ac:dyDescent="0.3">
      <c r="A39" s="289"/>
      <c r="B39" s="1"/>
      <c r="C39" s="1"/>
      <c r="D39" s="39" t="s">
        <v>116</v>
      </c>
      <c r="E39" s="42"/>
      <c r="F39" s="286"/>
      <c r="G39" s="274"/>
      <c r="H39" s="24"/>
      <c r="I39" s="24"/>
      <c r="J39" s="24"/>
      <c r="AD39" s="347" t="s">
        <v>120</v>
      </c>
      <c r="AE39" s="347" t="s">
        <v>545</v>
      </c>
      <c r="AF39" s="347" t="s">
        <v>607</v>
      </c>
    </row>
    <row r="40" spans="1:32" s="2" customFormat="1" ht="18" customHeight="1" x14ac:dyDescent="0.3">
      <c r="A40" s="289"/>
      <c r="B40" s="41"/>
      <c r="C40" s="41"/>
      <c r="D40" s="29" t="s">
        <v>117</v>
      </c>
      <c r="E40" s="52"/>
      <c r="F40" s="286"/>
      <c r="G40" s="274"/>
      <c r="H40" s="24"/>
      <c r="I40" s="24"/>
      <c r="J40" s="24"/>
      <c r="AD40" s="347" t="s">
        <v>122</v>
      </c>
      <c r="AE40" s="347" t="s">
        <v>610</v>
      </c>
      <c r="AF40" s="347" t="s">
        <v>610</v>
      </c>
    </row>
    <row r="41" spans="1:32" s="2" customFormat="1" ht="18" customHeight="1" x14ac:dyDescent="0.3">
      <c r="A41" s="289"/>
      <c r="B41" s="50"/>
      <c r="C41" s="50"/>
      <c r="D41" s="40" t="s">
        <v>119</v>
      </c>
      <c r="E41" s="51"/>
      <c r="F41" s="286"/>
      <c r="G41" s="274"/>
      <c r="H41" s="24"/>
      <c r="I41" s="24"/>
      <c r="J41" s="24"/>
      <c r="AD41" s="347" t="s">
        <v>123</v>
      </c>
      <c r="AE41" s="347" t="s">
        <v>610</v>
      </c>
      <c r="AF41" s="347" t="s">
        <v>610</v>
      </c>
    </row>
    <row r="42" spans="1:32" s="2" customFormat="1" ht="18" customHeight="1" x14ac:dyDescent="0.3">
      <c r="A42" s="289"/>
      <c r="B42" s="41"/>
      <c r="C42" s="41"/>
      <c r="D42" s="29" t="s">
        <v>120</v>
      </c>
      <c r="E42" s="52"/>
      <c r="F42" s="286"/>
      <c r="G42" s="274"/>
      <c r="H42" s="24"/>
      <c r="I42" s="24"/>
      <c r="J42" s="24"/>
      <c r="AD42" s="347" t="s">
        <v>124</v>
      </c>
      <c r="AE42" s="347" t="s">
        <v>1</v>
      </c>
      <c r="AF42" s="347" t="s">
        <v>611</v>
      </c>
    </row>
    <row r="43" spans="1:32" s="2" customFormat="1" ht="18" customHeight="1" x14ac:dyDescent="0.3">
      <c r="A43" s="289"/>
      <c r="B43" s="50"/>
      <c r="C43" s="50"/>
      <c r="D43" s="40" t="s">
        <v>122</v>
      </c>
      <c r="E43" s="51"/>
      <c r="F43" s="286"/>
      <c r="G43" s="274"/>
      <c r="H43" s="24"/>
      <c r="I43" s="24"/>
      <c r="J43" s="24"/>
      <c r="AD43" s="347" t="s">
        <v>125</v>
      </c>
      <c r="AE43" s="347" t="s">
        <v>1</v>
      </c>
      <c r="AF43" s="347" t="s">
        <v>611</v>
      </c>
    </row>
    <row r="44" spans="1:32" s="2" customFormat="1" ht="18" customHeight="1" x14ac:dyDescent="0.3">
      <c r="A44" s="289"/>
      <c r="B44" s="1"/>
      <c r="C44" s="1"/>
      <c r="D44" s="39" t="s">
        <v>123</v>
      </c>
      <c r="E44" s="42"/>
      <c r="F44" s="286"/>
      <c r="G44" s="274"/>
      <c r="H44" s="24"/>
      <c r="I44" s="24"/>
      <c r="J44" s="24"/>
    </row>
    <row r="45" spans="1:32" s="2" customFormat="1" ht="18" customHeight="1" x14ac:dyDescent="0.3">
      <c r="A45" s="289"/>
      <c r="B45" s="1"/>
      <c r="C45" s="1"/>
      <c r="D45" s="39" t="s">
        <v>124</v>
      </c>
      <c r="E45" s="42"/>
      <c r="F45" s="286"/>
      <c r="G45" s="274"/>
      <c r="H45" s="24"/>
      <c r="I45"/>
      <c r="J45"/>
    </row>
    <row r="46" spans="1:32" s="2" customFormat="1" ht="18" customHeight="1" x14ac:dyDescent="0.3">
      <c r="A46" s="289"/>
      <c r="B46" s="41"/>
      <c r="C46" s="41"/>
      <c r="D46" s="29" t="s">
        <v>125</v>
      </c>
      <c r="E46" s="52"/>
      <c r="F46" s="286"/>
      <c r="G46" s="274"/>
      <c r="H46" s="24"/>
      <c r="I46"/>
      <c r="J46"/>
    </row>
    <row r="47" spans="1:32" s="2" customFormat="1" ht="18" customHeight="1" x14ac:dyDescent="0.3">
      <c r="A47" s="289"/>
      <c r="B47" s="39"/>
      <c r="C47" s="39"/>
      <c r="D47" s="39" t="s">
        <v>1</v>
      </c>
      <c r="E47" s="42"/>
      <c r="F47" s="286"/>
      <c r="G47" s="274"/>
      <c r="H47" s="24"/>
      <c r="I47"/>
      <c r="J47"/>
    </row>
    <row r="48" spans="1:32" s="2" customFormat="1" ht="18" customHeight="1" thickBot="1" x14ac:dyDescent="0.35">
      <c r="A48" s="289"/>
      <c r="B48" s="43"/>
      <c r="C48" s="43"/>
      <c r="D48" s="43"/>
      <c r="E48" s="44"/>
      <c r="F48" s="286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15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163.19999999999999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736</v>
      </c>
      <c r="E1" s="61" t="s">
        <v>737</v>
      </c>
      <c r="F1" s="61" t="s">
        <v>738</v>
      </c>
      <c r="G1" s="61" t="s">
        <v>739</v>
      </c>
      <c r="H1" s="61" t="s">
        <v>263</v>
      </c>
      <c r="I1" s="61" t="s">
        <v>261</v>
      </c>
      <c r="J1" s="61" t="s">
        <v>271</v>
      </c>
      <c r="K1" s="61" t="s">
        <v>741</v>
      </c>
      <c r="L1" s="61" t="s">
        <v>272</v>
      </c>
      <c r="M1" s="63" t="s">
        <v>267</v>
      </c>
      <c r="AB1" s="352" t="s">
        <v>725</v>
      </c>
      <c r="AC1" s="352" t="s">
        <v>726</v>
      </c>
    </row>
    <row r="2" spans="1:33" s="3" customFormat="1" ht="48.75" customHeight="1" x14ac:dyDescent="0.4">
      <c r="A2" s="414" t="s">
        <v>6</v>
      </c>
      <c r="B2" s="59" t="s">
        <v>3</v>
      </c>
      <c r="C2" s="223"/>
      <c r="D2" s="309" t="s">
        <v>643</v>
      </c>
      <c r="E2" s="224"/>
      <c r="F2" s="224"/>
      <c r="G2" s="225"/>
      <c r="H2" s="303"/>
      <c r="I2" s="303"/>
      <c r="J2" s="304"/>
      <c r="K2" s="226"/>
      <c r="L2" s="226"/>
      <c r="M2" s="227"/>
      <c r="O2" s="348" t="s">
        <v>716</v>
      </c>
      <c r="S2" s="2"/>
      <c r="U2" s="2"/>
      <c r="V2" s="2"/>
      <c r="W2" s="2"/>
      <c r="AB2" s="353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1" t="str">
        <f>IF(OR('Outdoor Lighting'!$D$2="Incandescent",'Outdoor Lighting'!$D$2="Halogen"),VLOOKUP('Outdoor Lighting'!$D$2&amp;", "&amp;'Outdoor Lighting'!$H$2,LightTrans!$A$2:$B$83,2,FALSE), "")</f>
        <v/>
      </c>
      <c r="AE2" s="351" t="str">
        <f>IF('Outdoor Lighting'!$D$2="CFL", VLOOKUP('Outdoor Lighting'!$D$2&amp;", "&amp;'Outdoor Lighting'!$H$2, LightTrans!$A$2:$B$83, 2, FALSE), "")</f>
        <v/>
      </c>
      <c r="AF2" s="351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1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14"/>
      <c r="B3" s="57" t="s">
        <v>3</v>
      </c>
      <c r="C3" s="228"/>
      <c r="D3" s="310"/>
      <c r="E3" s="229"/>
      <c r="F3" s="229"/>
      <c r="G3" s="230"/>
      <c r="H3" s="305"/>
      <c r="I3" s="305"/>
      <c r="J3" s="306"/>
      <c r="K3" s="231"/>
      <c r="L3" s="226"/>
      <c r="M3" s="232"/>
      <c r="O3" s="348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3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1" t="str">
        <f>IF(OR('Outdoor Lighting'!$D$3="Incandescent",'Outdoor Lighting'!$D$3="Halogen"),VLOOKUP('Outdoor Lighting'!$D$3&amp;", "&amp;'Outdoor Lighting'!$H$3,LightTrans!$A$2:$B$83,2,FALSE), "")</f>
        <v/>
      </c>
      <c r="AE3" s="351" t="str">
        <f>IF('Outdoor Lighting'!$D$3="CFL", VLOOKUP('Outdoor Lighting'!$D$3&amp;", "&amp;'Outdoor Lighting'!$H$3, LightTrans!$A$2:$B$83, 2, FALSE), "")</f>
        <v/>
      </c>
      <c r="AF3" s="351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1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14"/>
      <c r="B4" s="57" t="s">
        <v>3</v>
      </c>
      <c r="C4" s="228"/>
      <c r="D4" s="310"/>
      <c r="E4" s="229"/>
      <c r="F4" s="229"/>
      <c r="G4" s="230"/>
      <c r="H4" s="305"/>
      <c r="I4" s="305"/>
      <c r="J4" s="306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3" t="str">
        <f t="shared" si="0"/>
        <v/>
      </c>
      <c r="AC4" s="3" t="str">
        <f t="shared" si="1"/>
        <v/>
      </c>
      <c r="AD4" s="351" t="str">
        <f>IF(OR('Outdoor Lighting'!$D$4="Incandescent",'Outdoor Lighting'!$D$4="Halogen"),VLOOKUP('Outdoor Lighting'!$D$4&amp;", "&amp;'Outdoor Lighting'!$H$4,LightTrans!$A$2:$B$83,2,FALSE), "")</f>
        <v/>
      </c>
      <c r="AE4" s="351" t="str">
        <f>IF('Outdoor Lighting'!$D$4="CFL", VLOOKUP('Outdoor Lighting'!$D$4&amp;", "&amp;'Outdoor Lighting'!$H$4, LightTrans!$A$2:$B$83, 2, FALSE), "")</f>
        <v/>
      </c>
      <c r="AF4" s="351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1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14"/>
      <c r="B5" s="57" t="s">
        <v>7</v>
      </c>
      <c r="C5" s="228"/>
      <c r="D5" s="310"/>
      <c r="E5" s="229"/>
      <c r="F5" s="229"/>
      <c r="G5" s="230"/>
      <c r="H5" s="305"/>
      <c r="I5" s="305"/>
      <c r="J5" s="306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3" t="str">
        <f t="shared" si="0"/>
        <v/>
      </c>
      <c r="AC5" s="3" t="str">
        <f t="shared" si="1"/>
        <v/>
      </c>
      <c r="AD5" s="351" t="str">
        <f>IF(OR('Outdoor Lighting'!$D$5="Incandescent",'Outdoor Lighting'!$D$5="Halogen"),VLOOKUP('Outdoor Lighting'!$D$5&amp;", "&amp;'Outdoor Lighting'!$H$5,LightTrans!$A$2:$B$83,2,FALSE), "")</f>
        <v/>
      </c>
      <c r="AE5" s="351" t="str">
        <f>IF('Outdoor Lighting'!$D$5="CFL", VLOOKUP('Outdoor Lighting'!$D$5&amp;", "&amp;'Outdoor Lighting'!$H$5, LightTrans!$A$2:$B$83, 2, FALSE), "")</f>
        <v/>
      </c>
      <c r="AF5" s="351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1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14"/>
      <c r="B6" s="57" t="s">
        <v>7</v>
      </c>
      <c r="C6" s="228"/>
      <c r="D6" s="310"/>
      <c r="E6" s="229"/>
      <c r="F6" s="229"/>
      <c r="G6" s="230"/>
      <c r="H6" s="305"/>
      <c r="I6" s="305"/>
      <c r="J6" s="306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3" t="str">
        <f t="shared" si="0"/>
        <v/>
      </c>
      <c r="AC6" s="3" t="str">
        <f t="shared" si="1"/>
        <v/>
      </c>
      <c r="AD6" s="351" t="str">
        <f>IF(OR('Outdoor Lighting'!$D$6="Incandescent",'Outdoor Lighting'!$D$6="Halogen"),VLOOKUP('Outdoor Lighting'!$D$6&amp;", "&amp;'Outdoor Lighting'!$H$6,LightTrans!$A$2:$B$83,2,FALSE), "")</f>
        <v/>
      </c>
      <c r="AE6" s="351" t="str">
        <f>IF('Outdoor Lighting'!$D$6="CFL", VLOOKUP('Outdoor Lighting'!$D$6&amp;", "&amp;'Outdoor Lighting'!$H$6, LightTrans!$A$2:$B$83, 2, FALSE), "")</f>
        <v/>
      </c>
      <c r="AF6" s="351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1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14"/>
      <c r="B7" s="57" t="s">
        <v>8</v>
      </c>
      <c r="C7" s="228"/>
      <c r="D7" s="310"/>
      <c r="E7" s="229"/>
      <c r="F7" s="229"/>
      <c r="G7" s="230"/>
      <c r="H7" s="305"/>
      <c r="I7" s="305"/>
      <c r="J7" s="306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3" t="str">
        <f t="shared" si="0"/>
        <v/>
      </c>
      <c r="AC7" s="3" t="str">
        <f t="shared" si="1"/>
        <v/>
      </c>
      <c r="AD7" s="351" t="str">
        <f>IF(OR('Outdoor Lighting'!$D$7="Incandescent",'Outdoor Lighting'!$D$7="Halogen"),VLOOKUP('Outdoor Lighting'!$D$7&amp;", "&amp;'Outdoor Lighting'!$H$7,LightTrans!$A$2:$B$83,2,FALSE), "")</f>
        <v/>
      </c>
      <c r="AE7" s="351" t="str">
        <f>IF('Outdoor Lighting'!$D$7="CFL", VLOOKUP('Outdoor Lighting'!$D$7&amp;", "&amp;'Outdoor Lighting'!$H$7, LightTrans!$A$2:$B$83, 2, FALSE), "")</f>
        <v/>
      </c>
      <c r="AF7" s="351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1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14"/>
      <c r="B8" s="57" t="s">
        <v>8</v>
      </c>
      <c r="C8" s="228"/>
      <c r="D8" s="310"/>
      <c r="E8" s="229"/>
      <c r="F8" s="229"/>
      <c r="G8" s="230"/>
      <c r="H8" s="305"/>
      <c r="I8" s="305"/>
      <c r="J8" s="306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3" t="str">
        <f t="shared" si="0"/>
        <v/>
      </c>
      <c r="AC8" s="3" t="str">
        <f t="shared" si="1"/>
        <v/>
      </c>
      <c r="AD8" s="351" t="str">
        <f>IF(OR('Outdoor Lighting'!$D$8="Incandescent",'Outdoor Lighting'!$D$8="Halogen"),VLOOKUP('Outdoor Lighting'!$D$8&amp;", "&amp;'Outdoor Lighting'!$H$8,LightTrans!$A$2:$B$83,2,FALSE), "")</f>
        <v/>
      </c>
      <c r="AE8" s="351" t="str">
        <f>IF('Outdoor Lighting'!$D$8="CFL", VLOOKUP('Outdoor Lighting'!$D$8&amp;", "&amp;'Outdoor Lighting'!$H$8, LightTrans!$A$2:$B$83, 2, FALSE), "")</f>
        <v/>
      </c>
      <c r="AF8" s="351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1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14"/>
      <c r="B9" s="57" t="s">
        <v>264</v>
      </c>
      <c r="C9" s="228"/>
      <c r="D9" s="310"/>
      <c r="E9" s="229"/>
      <c r="F9" s="229"/>
      <c r="G9" s="230"/>
      <c r="H9" s="305"/>
      <c r="I9" s="305"/>
      <c r="J9" s="306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3" t="str">
        <f t="shared" si="0"/>
        <v/>
      </c>
      <c r="AC9" s="3" t="str">
        <f t="shared" si="1"/>
        <v/>
      </c>
      <c r="AD9" s="351" t="str">
        <f>IF(OR('Outdoor Lighting'!$D$9="Incandescent",'Outdoor Lighting'!$D$9="Halogen"),VLOOKUP('Outdoor Lighting'!$D$9&amp;", "&amp;'Outdoor Lighting'!$H$9,LightTrans!$A$2:$B$83,2,FALSE), "")</f>
        <v/>
      </c>
      <c r="AE9" s="351" t="str">
        <f>IF('Outdoor Lighting'!$D$9="CFL", VLOOKUP('Outdoor Lighting'!$D$9&amp;", "&amp;'Outdoor Lighting'!$H$9, LightTrans!$A$2:$B$83, 2, FALSE), "")</f>
        <v/>
      </c>
      <c r="AF9" s="351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1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14"/>
      <c r="B10" s="57" t="s">
        <v>264</v>
      </c>
      <c r="C10" s="228"/>
      <c r="D10" s="310"/>
      <c r="E10" s="229"/>
      <c r="F10" s="233"/>
      <c r="G10" s="234"/>
      <c r="H10" s="297"/>
      <c r="I10" s="297"/>
      <c r="J10" s="306"/>
      <c r="K10" s="231"/>
      <c r="L10" s="226"/>
      <c r="M10" s="235"/>
      <c r="S10" s="2" t="s">
        <v>653</v>
      </c>
      <c r="AB10" s="353" t="str">
        <f t="shared" si="0"/>
        <v/>
      </c>
      <c r="AC10" s="3" t="str">
        <f t="shared" si="1"/>
        <v/>
      </c>
      <c r="AD10" s="351" t="str">
        <f>IF(OR('Outdoor Lighting'!$D$10="Incandescent",'Outdoor Lighting'!$D$10="Halogen"),VLOOKUP('Outdoor Lighting'!$D$10&amp;", "&amp;'Outdoor Lighting'!$H$10,LightTrans!$A$2:$B$83,2,FALSE), "")</f>
        <v/>
      </c>
      <c r="AE10" s="351" t="str">
        <f>IF('Outdoor Lighting'!$D$10="CFL", VLOOKUP('Outdoor Lighting'!$D$10&amp;", "&amp;'Outdoor Lighting'!$H$10, LightTrans!$A$2:$B$83, 2, FALSE), "")</f>
        <v/>
      </c>
      <c r="AF10" s="351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1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15"/>
      <c r="B11" s="58" t="s">
        <v>40</v>
      </c>
      <c r="C11" s="207"/>
      <c r="D11" s="311"/>
      <c r="E11" s="236"/>
      <c r="F11" s="237"/>
      <c r="G11" s="238"/>
      <c r="H11" s="307"/>
      <c r="I11" s="307"/>
      <c r="J11" s="308"/>
      <c r="K11" s="239"/>
      <c r="L11" s="226"/>
      <c r="M11" s="240"/>
      <c r="S11" s="2" t="s">
        <v>654</v>
      </c>
      <c r="AB11" s="353" t="str">
        <f t="shared" si="0"/>
        <v/>
      </c>
      <c r="AC11" s="3" t="str">
        <f t="shared" si="1"/>
        <v/>
      </c>
      <c r="AD11" s="351" t="str">
        <f>IF(OR('Outdoor Lighting'!$D$11="Incandescent",'Outdoor Lighting'!$D$11="Halogen"),VLOOKUP('Outdoor Lighting'!$D$11&amp;", "&amp;'Outdoor Lighting'!$H$11,LightTrans!$A$2:$B$83,2,FALSE), "")</f>
        <v/>
      </c>
      <c r="AE11" s="351" t="str">
        <f>IF('Outdoor Lighting'!$D$11="CFL", VLOOKUP('Outdoor Lighting'!$D$11&amp;", "&amp;'Outdoor Lighting'!$H$11, LightTrans!$A$2:$B$83, 2, FALSE), "")</f>
        <v/>
      </c>
      <c r="AF11" s="351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1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137160</xdr:colOff>
                <xdr:row>0</xdr:row>
                <xdr:rowOff>137160</xdr:rowOff>
              </from>
              <to>
                <xdr:col>2</xdr:col>
                <xdr:colOff>68580</xdr:colOff>
                <xdr:row>0</xdr:row>
                <xdr:rowOff>815340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="85" zoomScaleNormal="100" zoomScaleSheetLayoutView="85" zoomScalePageLayoutView="55" workbookViewId="0">
      <pane ySplit="1" topLeftCell="A2" activePane="bottomLeft" state="frozen"/>
      <selection pane="bottomLeft"/>
    </sheetView>
  </sheetViews>
  <sheetFormatPr defaultRowHeight="16.2" customHeight="1" x14ac:dyDescent="0.3"/>
  <cols>
    <col min="1" max="1" width="7.5546875" customWidth="1"/>
    <col min="2" max="2" width="7.6640625" customWidth="1"/>
    <col min="3" max="3" width="4.664062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3320312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3" customFormat="1" ht="45" customHeight="1" thickBot="1" x14ac:dyDescent="0.35">
      <c r="A1" s="393" t="s">
        <v>265</v>
      </c>
      <c r="B1" s="393" t="s">
        <v>260</v>
      </c>
      <c r="C1" s="393" t="s">
        <v>744</v>
      </c>
      <c r="D1" s="393" t="s">
        <v>307</v>
      </c>
      <c r="E1" s="393" t="s">
        <v>736</v>
      </c>
      <c r="F1" s="393" t="s">
        <v>737</v>
      </c>
      <c r="G1" s="393" t="s">
        <v>738</v>
      </c>
      <c r="H1" s="393" t="s">
        <v>739</v>
      </c>
      <c r="I1" s="393" t="s">
        <v>263</v>
      </c>
      <c r="J1" s="393" t="s">
        <v>743</v>
      </c>
      <c r="K1" s="393" t="s">
        <v>308</v>
      </c>
      <c r="L1" s="393" t="s">
        <v>191</v>
      </c>
      <c r="M1" s="393" t="s">
        <v>745</v>
      </c>
      <c r="N1" s="393" t="s">
        <v>740</v>
      </c>
      <c r="O1" s="393" t="s">
        <v>741</v>
      </c>
      <c r="P1" s="393" t="s">
        <v>272</v>
      </c>
      <c r="Q1" s="393" t="s">
        <v>268</v>
      </c>
      <c r="R1" s="393" t="s">
        <v>746</v>
      </c>
      <c r="S1" s="393" t="s">
        <v>742</v>
      </c>
      <c r="T1" s="393" t="s">
        <v>715</v>
      </c>
      <c r="U1" s="364"/>
      <c r="V1" s="364"/>
      <c r="W1" s="364"/>
      <c r="X1" s="364"/>
      <c r="Y1" s="364"/>
      <c r="Z1" s="364"/>
      <c r="AA1" s="364"/>
      <c r="AB1" s="364"/>
      <c r="AC1" s="364"/>
      <c r="AD1" s="364"/>
      <c r="AE1" s="364"/>
      <c r="AF1" s="364"/>
      <c r="AG1" s="364"/>
      <c r="AH1" s="364"/>
      <c r="AI1" s="364"/>
      <c r="AJ1" s="364"/>
      <c r="AK1" s="364"/>
      <c r="AL1" s="364"/>
      <c r="AM1" s="364"/>
      <c r="AN1" s="364"/>
      <c r="AO1" s="364"/>
      <c r="AP1" s="364"/>
      <c r="AQ1" s="364"/>
      <c r="AR1" s="364"/>
      <c r="AS1" s="364"/>
      <c r="AT1" s="364"/>
      <c r="AU1" s="364" t="s">
        <v>725</v>
      </c>
      <c r="AV1" s="364" t="s">
        <v>726</v>
      </c>
    </row>
    <row r="2" spans="1:52" s="2" customFormat="1" ht="22.95" customHeight="1" x14ac:dyDescent="0.3">
      <c r="A2" s="365">
        <v>1</v>
      </c>
      <c r="B2" s="366"/>
      <c r="C2" s="366"/>
      <c r="D2" s="367"/>
      <c r="E2" s="368"/>
      <c r="F2" s="369"/>
      <c r="G2" s="369"/>
      <c r="H2" s="369"/>
      <c r="I2" s="370"/>
      <c r="J2" s="370"/>
      <c r="K2" s="369"/>
      <c r="L2" s="370"/>
      <c r="M2" s="370" t="str">
        <f>IF(E2="", "", IF('Facility Info'!$H$8="Y", IF(C2="Y", "Natural Gas", "None"), IF(C2="Y", "Heat Pump", "None")))</f>
        <v/>
      </c>
      <c r="N2" s="365"/>
      <c r="O2" s="365"/>
      <c r="P2" s="365"/>
      <c r="Q2" s="365"/>
      <c r="R2" s="370"/>
      <c r="S2" s="370"/>
      <c r="T2" s="371"/>
      <c r="AU2" s="353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1" t="str">
        <f>IF(OR('Indoor Lighting'!$E$2="Incandescent",'Indoor Lighting'!$E$2="Halogen"),VLOOKUP('Indoor Lighting'!$E$2&amp;", "&amp;'Indoor Lighting'!$I$2,LightTrans!$A$2:$B$83,2,FALSE), "")</f>
        <v/>
      </c>
      <c r="AX2" s="351" t="str">
        <f>IF('Indoor Lighting'!$E$2="CFL", VLOOKUP('Indoor Lighting'!$E$2&amp;", "&amp;'Indoor Lighting'!$I$2, LightTrans!$A$2:$B$83, 2, FALSE), "")</f>
        <v/>
      </c>
      <c r="AY2" s="351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1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2">
        <v>2</v>
      </c>
      <c r="B3" s="373"/>
      <c r="C3" s="373"/>
      <c r="D3" s="374"/>
      <c r="E3" s="368"/>
      <c r="F3" s="376"/>
      <c r="G3" s="376"/>
      <c r="H3" s="376"/>
      <c r="I3" s="375"/>
      <c r="J3" s="375"/>
      <c r="K3" s="376"/>
      <c r="L3" s="375"/>
      <c r="M3" s="375" t="str">
        <f>IF(E3="", "", IF('Facility Info'!$H$8="Y", IF(C3="Y", "Natural Gas", "None"), IF(C3="Y", "Heat Pump", "None")))</f>
        <v/>
      </c>
      <c r="N3" s="372"/>
      <c r="O3" s="372"/>
      <c r="P3" s="372"/>
      <c r="Q3" s="372"/>
      <c r="R3" s="375"/>
      <c r="S3" s="375"/>
      <c r="T3" s="377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3" t="str">
        <f t="shared" si="0"/>
        <v/>
      </c>
      <c r="AV3" s="2" t="str">
        <f t="shared" ref="AV3:AV13" si="1">CONCATENATE(AW3, AX3, AY3, AZ3)</f>
        <v/>
      </c>
      <c r="AW3" s="351" t="str">
        <f>IF(OR('Indoor Lighting'!$E$3="Incandescent",'Indoor Lighting'!$E$3="Halogen"),VLOOKUP('Indoor Lighting'!$E$3&amp;", "&amp;'Indoor Lighting'!$I$3,LightTrans!$A$2:$B$83,2,FALSE), "")</f>
        <v/>
      </c>
      <c r="AX3" s="351" t="str">
        <f>IF('Indoor Lighting'!$E$3="CFL", VLOOKUP('Indoor Lighting'!$E$3&amp;", "&amp;'Indoor Lighting'!$I$3, LightTrans!$A$2:$B$83, 2, FALSE), "")</f>
        <v/>
      </c>
      <c r="AY3" s="351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1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2">
        <v>3</v>
      </c>
      <c r="B4" s="366"/>
      <c r="C4" s="366"/>
      <c r="D4" s="367"/>
      <c r="E4" s="368"/>
      <c r="F4" s="369"/>
      <c r="G4" s="369"/>
      <c r="H4" s="369"/>
      <c r="I4" s="370"/>
      <c r="J4" s="375"/>
      <c r="K4" s="376"/>
      <c r="L4" s="370"/>
      <c r="M4" s="375" t="str">
        <f>IF(E4="", "", IF('Facility Info'!$H$8="Y", IF(C4="Y", "Natural Gas", "None"), IF(C4="Y", "Heat Pump", "None")))</f>
        <v/>
      </c>
      <c r="N4" s="372"/>
      <c r="O4" s="372"/>
      <c r="P4" s="372"/>
      <c r="Q4" s="372"/>
      <c r="R4" s="370"/>
      <c r="S4" s="370"/>
      <c r="T4" s="377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3" t="str">
        <f t="shared" si="0"/>
        <v/>
      </c>
      <c r="AV4" s="2" t="str">
        <f t="shared" si="1"/>
        <v/>
      </c>
      <c r="AW4" s="351" t="str">
        <f>IF(OR('Indoor Lighting'!$E$4="Incandescent",'Indoor Lighting'!$E$4="Halogen"),VLOOKUP('Indoor Lighting'!$E$4&amp;", "&amp;'Indoor Lighting'!$I$4,LightTrans!$A$2:$B$83,2,FALSE), "")</f>
        <v/>
      </c>
      <c r="AX4" s="351" t="str">
        <f>IF('Indoor Lighting'!$E$4="CFL", VLOOKUP('Indoor Lighting'!$E$4&amp;", "&amp;'Indoor Lighting'!$I$4, LightTrans!$A$2:$B$83, 2, FALSE), "")</f>
        <v/>
      </c>
      <c r="AY4" s="351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1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2">
        <v>4</v>
      </c>
      <c r="B5" s="373"/>
      <c r="C5" s="373"/>
      <c r="D5" s="374"/>
      <c r="E5" s="368"/>
      <c r="F5" s="376"/>
      <c r="G5" s="376"/>
      <c r="H5" s="376"/>
      <c r="I5" s="375"/>
      <c r="J5" s="375"/>
      <c r="K5" s="376"/>
      <c r="L5" s="375"/>
      <c r="M5" s="375" t="str">
        <f>IF(E5="", "", IF('Facility Info'!$H$8="Y", IF(C5="Y", "Natural Gas", "None"), IF(C5="Y", "Heat Pump", "None")))</f>
        <v/>
      </c>
      <c r="N5" s="372"/>
      <c r="O5" s="372"/>
      <c r="P5" s="372"/>
      <c r="Q5" s="372"/>
      <c r="R5" s="375"/>
      <c r="S5" s="375"/>
      <c r="T5" s="377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3" t="str">
        <f t="shared" si="0"/>
        <v/>
      </c>
      <c r="AV5" s="2" t="str">
        <f t="shared" si="1"/>
        <v/>
      </c>
      <c r="AW5" s="351" t="str">
        <f>IF(OR('Indoor Lighting'!$E$5="Incandescent",'Indoor Lighting'!$E$5="Halogen"),VLOOKUP('Indoor Lighting'!$E$5&amp;", "&amp;'Indoor Lighting'!$I$5,LightTrans!$A$2:$B$83,2,FALSE), "")</f>
        <v/>
      </c>
      <c r="AX5" s="351" t="str">
        <f>IF('Indoor Lighting'!$E$5="CFL", VLOOKUP('Indoor Lighting'!$E$5&amp;", "&amp;'Indoor Lighting'!$I$5, LightTrans!$A$2:$B$83, 2, FALSE), "")</f>
        <v/>
      </c>
      <c r="AY5" s="351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1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2">
        <v>5</v>
      </c>
      <c r="B6" s="366"/>
      <c r="C6" s="366"/>
      <c r="D6" s="367"/>
      <c r="E6" s="368"/>
      <c r="F6" s="369"/>
      <c r="G6" s="369"/>
      <c r="H6" s="369"/>
      <c r="I6" s="370"/>
      <c r="J6" s="375"/>
      <c r="K6" s="376"/>
      <c r="L6" s="370"/>
      <c r="M6" s="375" t="str">
        <f>IF(E6="", "", IF('Facility Info'!$H$8="Y", IF(C6="Y", "Natural Gas", "None"), IF(C6="Y", "Heat Pump", "None")))</f>
        <v/>
      </c>
      <c r="N6" s="372"/>
      <c r="O6" s="372"/>
      <c r="P6" s="372"/>
      <c r="Q6" s="372"/>
      <c r="R6" s="370"/>
      <c r="S6" s="370"/>
      <c r="T6" s="377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3" t="str">
        <f t="shared" si="0"/>
        <v/>
      </c>
      <c r="AV6" s="2" t="str">
        <f t="shared" si="1"/>
        <v/>
      </c>
      <c r="AW6" s="351" t="str">
        <f>IF(OR('Indoor Lighting'!$E$6="Incandescent",'Indoor Lighting'!$E$6="Halogen"),VLOOKUP('Indoor Lighting'!$E$6&amp;", "&amp;'Indoor Lighting'!$I$6,LightTrans!$A$2:$B$83,2,FALSE), "")</f>
        <v/>
      </c>
      <c r="AX6" s="351" t="str">
        <f>IF('Indoor Lighting'!$E$6="CFL", VLOOKUP('Indoor Lighting'!$E$6&amp;", "&amp;'Indoor Lighting'!$I$6, LightTrans!$A$2:$B$83, 2, FALSE), "")</f>
        <v/>
      </c>
      <c r="AY6" s="351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1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2">
        <v>6</v>
      </c>
      <c r="B7" s="373"/>
      <c r="C7" s="373"/>
      <c r="D7" s="374"/>
      <c r="E7" s="368"/>
      <c r="F7" s="376"/>
      <c r="G7" s="376"/>
      <c r="H7" s="376"/>
      <c r="I7" s="375"/>
      <c r="J7" s="375"/>
      <c r="K7" s="376"/>
      <c r="L7" s="375"/>
      <c r="M7" s="375" t="str">
        <f>IF(E7="", "", IF('Facility Info'!$H$8="Y", IF(C7="Y", "Natural Gas", "None"), IF(C7="Y", "Heat Pump", "None")))</f>
        <v/>
      </c>
      <c r="N7" s="372"/>
      <c r="O7" s="372"/>
      <c r="P7" s="372"/>
      <c r="Q7" s="372"/>
      <c r="R7" s="375"/>
      <c r="S7" s="375"/>
      <c r="T7" s="377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3" t="str">
        <f t="shared" si="0"/>
        <v/>
      </c>
      <c r="AV7" s="2" t="str">
        <f t="shared" si="1"/>
        <v/>
      </c>
      <c r="AW7" s="351" t="str">
        <f>IF(OR('Indoor Lighting'!$E$7="Incandescent",'Indoor Lighting'!$E$7="Halogen"),VLOOKUP('Indoor Lighting'!$E$7&amp;", "&amp;'Indoor Lighting'!$I$7,LightTrans!$A$2:$B$83,2,FALSE), "")</f>
        <v/>
      </c>
      <c r="AX7" s="351" t="str">
        <f>IF('Indoor Lighting'!$E$7="CFL", VLOOKUP('Indoor Lighting'!$E$7&amp;", "&amp;'Indoor Lighting'!$I$7, LightTrans!$A$2:$B$83, 2, FALSE), "")</f>
        <v/>
      </c>
      <c r="AY7" s="351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1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2">
        <v>7</v>
      </c>
      <c r="B8" s="366"/>
      <c r="C8" s="366"/>
      <c r="D8" s="367"/>
      <c r="E8" s="368"/>
      <c r="F8" s="369"/>
      <c r="G8" s="369"/>
      <c r="H8" s="369"/>
      <c r="I8" s="370"/>
      <c r="J8" s="375"/>
      <c r="K8" s="376"/>
      <c r="L8" s="370"/>
      <c r="M8" s="375" t="str">
        <f>IF(E8="", "", IF('Facility Info'!$H$8="Y", IF(C8="Y", "Natural Gas", "None"), IF(C8="Y", "Heat Pump", "None")))</f>
        <v/>
      </c>
      <c r="N8" s="372"/>
      <c r="O8" s="372"/>
      <c r="P8" s="372"/>
      <c r="Q8" s="372"/>
      <c r="R8" s="370"/>
      <c r="S8" s="370"/>
      <c r="T8" s="377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3" t="str">
        <f t="shared" si="0"/>
        <v/>
      </c>
      <c r="AV8" s="2" t="str">
        <f t="shared" si="1"/>
        <v/>
      </c>
      <c r="AW8" s="351" t="str">
        <f>IF(OR('Indoor Lighting'!$E$8="Incandescent",'Indoor Lighting'!$E$8="Halogen"),VLOOKUP('Indoor Lighting'!$E$8&amp;", "&amp;'Indoor Lighting'!$I$8,LightTrans!$A$2:$B$83,2,FALSE), "")</f>
        <v/>
      </c>
      <c r="AX8" s="351" t="str">
        <f>IF('Indoor Lighting'!$E$8="CFL", VLOOKUP('Indoor Lighting'!$E$8&amp;", "&amp;'Indoor Lighting'!$I$8, LightTrans!$A$2:$B$83, 2, FALSE), "")</f>
        <v/>
      </c>
      <c r="AY8" s="351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1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2">
        <v>8</v>
      </c>
      <c r="B9" s="373"/>
      <c r="C9" s="373"/>
      <c r="D9" s="374"/>
      <c r="E9" s="368"/>
      <c r="F9" s="376"/>
      <c r="G9" s="376"/>
      <c r="H9" s="376"/>
      <c r="I9" s="375"/>
      <c r="J9" s="375"/>
      <c r="K9" s="376"/>
      <c r="L9" s="375"/>
      <c r="M9" s="375" t="str">
        <f>IF(E9="", "", IF('Facility Info'!$H$8="Y", IF(C9="Y", "Natural Gas", "None"), IF(C9="Y", "Heat Pump", "None")))</f>
        <v/>
      </c>
      <c r="N9" s="372"/>
      <c r="O9" s="372"/>
      <c r="P9" s="372"/>
      <c r="Q9" s="372"/>
      <c r="R9" s="375"/>
      <c r="S9" s="375"/>
      <c r="T9" s="377"/>
      <c r="Z9" s="2" t="s">
        <v>678</v>
      </c>
      <c r="AA9" s="2" t="s">
        <v>664</v>
      </c>
      <c r="AC9" s="2" t="s">
        <v>652</v>
      </c>
      <c r="AL9" s="2" t="s">
        <v>599</v>
      </c>
      <c r="AU9" s="353" t="str">
        <f t="shared" si="0"/>
        <v/>
      </c>
      <c r="AV9" s="2" t="str">
        <f t="shared" si="1"/>
        <v/>
      </c>
      <c r="AW9" s="351" t="str">
        <f>IF(OR('Indoor Lighting'!$E$9="Incandescent",'Indoor Lighting'!$E$9="Halogen"),VLOOKUP('Indoor Lighting'!$E$9&amp;", "&amp;'Indoor Lighting'!$I$9,LightTrans!$A$2:$B$83,2,FALSE), "")</f>
        <v/>
      </c>
      <c r="AX9" s="351" t="str">
        <f>IF('Indoor Lighting'!$E$9="CFL", VLOOKUP('Indoor Lighting'!$E$9&amp;", "&amp;'Indoor Lighting'!$I$9, LightTrans!$A$2:$B$83, 2, FALSE), "")</f>
        <v/>
      </c>
      <c r="AY9" s="351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1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2">
        <v>9</v>
      </c>
      <c r="B10" s="366"/>
      <c r="C10" s="366"/>
      <c r="D10" s="367"/>
      <c r="E10" s="368"/>
      <c r="F10" s="369"/>
      <c r="G10" s="369"/>
      <c r="H10" s="369"/>
      <c r="I10" s="370"/>
      <c r="J10" s="375"/>
      <c r="K10" s="376"/>
      <c r="L10" s="370"/>
      <c r="M10" s="375" t="str">
        <f>IF(E10="", "", IF('Facility Info'!$H$8="Y", IF(C10="Y", "Natural Gas", "None"), IF(C10="Y", "Heat Pump", "None")))</f>
        <v/>
      </c>
      <c r="N10" s="372"/>
      <c r="O10" s="372"/>
      <c r="P10" s="372"/>
      <c r="Q10" s="372"/>
      <c r="R10" s="370"/>
      <c r="S10" s="370"/>
      <c r="T10" s="377"/>
      <c r="AC10" s="2" t="s">
        <v>653</v>
      </c>
      <c r="AL10" s="2" t="s">
        <v>600</v>
      </c>
      <c r="AU10" s="353" t="str">
        <f t="shared" si="0"/>
        <v/>
      </c>
      <c r="AV10" s="2" t="str">
        <f t="shared" si="1"/>
        <v/>
      </c>
      <c r="AW10" s="351" t="str">
        <f>IF(OR('Indoor Lighting'!$E$10="Incandescent",'Indoor Lighting'!$E$10="Halogen"),VLOOKUP('Indoor Lighting'!$E$10&amp;", "&amp;'Indoor Lighting'!$I$10,LightTrans!$A$2:$B$83,2,FALSE), "")</f>
        <v/>
      </c>
      <c r="AX10" s="351" t="str">
        <f>IF('Indoor Lighting'!$E$10="CFL", VLOOKUP('Indoor Lighting'!$E$10&amp;", "&amp;'Indoor Lighting'!$I$10, LightTrans!$A$2:$B$83, 2, FALSE), "")</f>
        <v/>
      </c>
      <c r="AY10" s="351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1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2">
        <v>10</v>
      </c>
      <c r="B11" s="373"/>
      <c r="C11" s="373"/>
      <c r="D11" s="374"/>
      <c r="E11" s="368"/>
      <c r="F11" s="376"/>
      <c r="G11" s="376"/>
      <c r="H11" s="376"/>
      <c r="I11" s="375"/>
      <c r="J11" s="375"/>
      <c r="K11" s="376"/>
      <c r="L11" s="375"/>
      <c r="M11" s="375" t="str">
        <f>IF(E11="", "", IF('Facility Info'!$H$8="Y", IF(C11="Y", "Natural Gas", "None"), IF(C11="Y", "Heat Pump", "None")))</f>
        <v/>
      </c>
      <c r="N11" s="372"/>
      <c r="O11" s="372"/>
      <c r="P11" s="372"/>
      <c r="Q11" s="372"/>
      <c r="R11" s="375"/>
      <c r="S11" s="375"/>
      <c r="T11" s="377"/>
      <c r="AC11" s="2" t="s">
        <v>654</v>
      </c>
      <c r="AU11" s="353" t="str">
        <f t="shared" si="0"/>
        <v/>
      </c>
      <c r="AV11" s="2" t="str">
        <f t="shared" si="1"/>
        <v/>
      </c>
      <c r="AW11" s="351" t="str">
        <f>IF(OR('Indoor Lighting'!$E$11="Incandescent",'Indoor Lighting'!$E$11="Halogen"),VLOOKUP('Indoor Lighting'!$E$11&amp;", "&amp;'Indoor Lighting'!$I$11,LightTrans!$A$2:$B$83,2,FALSE), "")</f>
        <v/>
      </c>
      <c r="AX11" s="351" t="str">
        <f>IF('Indoor Lighting'!$E$11="CFL", VLOOKUP('Indoor Lighting'!$E$11&amp;", "&amp;'Indoor Lighting'!$I$11, LightTrans!$A$2:$B$83, 2, FALSE), "")</f>
        <v/>
      </c>
      <c r="AY11" s="351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1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2">
        <v>11</v>
      </c>
      <c r="B12" s="366"/>
      <c r="C12" s="366"/>
      <c r="D12" s="367"/>
      <c r="E12" s="368"/>
      <c r="F12" s="369"/>
      <c r="G12" s="369"/>
      <c r="H12" s="369"/>
      <c r="I12" s="370"/>
      <c r="J12" s="375"/>
      <c r="K12" s="376"/>
      <c r="L12" s="370"/>
      <c r="M12" s="375" t="str">
        <f>IF(E12="", "", IF('Facility Info'!$H$8="Y", IF(C12="Y", "Natural Gas", "None"), IF(C12="Y", "Heat Pump", "None")))</f>
        <v/>
      </c>
      <c r="N12" s="372"/>
      <c r="O12" s="372"/>
      <c r="P12" s="372"/>
      <c r="Q12" s="372"/>
      <c r="R12" s="370"/>
      <c r="S12" s="370"/>
      <c r="T12" s="377"/>
      <c r="AC12" s="2" t="s">
        <v>655</v>
      </c>
      <c r="AU12" s="353" t="str">
        <f t="shared" si="0"/>
        <v/>
      </c>
      <c r="AV12" s="2" t="str">
        <f t="shared" si="1"/>
        <v/>
      </c>
      <c r="AW12" s="351" t="str">
        <f>IF(OR('Indoor Lighting'!$E$12="Incandescent",'Indoor Lighting'!$E$12="Halogen"),VLOOKUP('Indoor Lighting'!$E$12&amp;", "&amp;'Indoor Lighting'!$I$12,LightTrans!$A$2:$B$83,2,FALSE), "")</f>
        <v/>
      </c>
      <c r="AX12" s="351" t="str">
        <f>IF('Indoor Lighting'!$E$12="CFL", VLOOKUP('Indoor Lighting'!$E$12&amp;", "&amp;'Indoor Lighting'!$I$12, LightTrans!$A$2:$B$83, 2, FALSE), "")</f>
        <v/>
      </c>
      <c r="AY12" s="351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1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2">
        <v>12</v>
      </c>
      <c r="B13" s="373"/>
      <c r="C13" s="373"/>
      <c r="D13" s="374"/>
      <c r="E13" s="368"/>
      <c r="F13" s="376"/>
      <c r="G13" s="376"/>
      <c r="H13" s="376"/>
      <c r="I13" s="375"/>
      <c r="J13" s="375"/>
      <c r="K13" s="376"/>
      <c r="L13" s="375"/>
      <c r="M13" s="375" t="str">
        <f>IF(E13="", "", IF('Facility Info'!$H$8="Y", IF(C13="Y", "Natural Gas", "None"), IF(C13="Y", "Heat Pump", "None")))</f>
        <v/>
      </c>
      <c r="N13" s="372"/>
      <c r="O13" s="372"/>
      <c r="P13" s="372"/>
      <c r="Q13" s="372"/>
      <c r="R13" s="375"/>
      <c r="S13" s="375"/>
      <c r="T13" s="377"/>
      <c r="AC13" s="2" t="s">
        <v>656</v>
      </c>
      <c r="AU13" s="353" t="str">
        <f t="shared" si="0"/>
        <v/>
      </c>
      <c r="AV13" s="2" t="str">
        <f t="shared" si="1"/>
        <v/>
      </c>
      <c r="AW13" s="351" t="str">
        <f>IF(OR('Indoor Lighting'!E13="Incandescent",'Indoor Lighting'!E13="Halogen"),VLOOKUP('Indoor Lighting'!E13&amp;", "&amp;'Indoor Lighting'!I13,LightTrans!$A$2:$B$83,2,FALSE), "")</f>
        <v/>
      </c>
      <c r="AX13" s="351" t="str">
        <f>IF('Indoor Lighting'!E13="CFL", VLOOKUP('Indoor Lighting'!E13&amp;", "&amp;'Indoor Lighting'!I13, LightTrans!$A$2:$B$83, 2, FALSE), "")</f>
        <v/>
      </c>
      <c r="AY13" s="351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1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thickBot="1" x14ac:dyDescent="0.35">
      <c r="A14" s="372">
        <v>13</v>
      </c>
      <c r="B14" s="373"/>
      <c r="C14" s="373"/>
      <c r="D14" s="374"/>
      <c r="E14" s="368"/>
      <c r="F14" s="376"/>
      <c r="G14" s="376"/>
      <c r="H14" s="376"/>
      <c r="I14" s="375"/>
      <c r="J14" s="375"/>
      <c r="K14" s="376"/>
      <c r="L14" s="375"/>
      <c r="M14" s="375" t="str">
        <f>IF(E14="", "", IF('Facility Info'!$H$8="Y", IF(C14="Y", "Natural Gas", "None"), IF(C14="Y", "Heat Pump", "None")))</f>
        <v/>
      </c>
      <c r="N14" s="372"/>
      <c r="O14" s="372"/>
      <c r="P14" s="372"/>
      <c r="Q14" s="372" t="s">
        <v>643</v>
      </c>
      <c r="R14" s="375"/>
      <c r="S14" s="375"/>
      <c r="T14" s="377"/>
      <c r="AU14" s="353" t="str">
        <f t="shared" ref="AU14:AU55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5" si="3">CONCATENATE(AW14, AX14, AY14, AZ14)</f>
        <v/>
      </c>
      <c r="AW14" s="351" t="str">
        <f>IF(OR('Indoor Lighting'!E14="Incandescent",'Indoor Lighting'!E14="Halogen"),VLOOKUP('Indoor Lighting'!E14&amp;", "&amp;'Indoor Lighting'!I14,LightTrans!$A$2:$B$83,2,FALSE), "")</f>
        <v/>
      </c>
      <c r="AX14" s="351" t="str">
        <f>IF('Indoor Lighting'!E14="CFL", VLOOKUP('Indoor Lighting'!E14&amp;", "&amp;'Indoor Lighting'!I14, LightTrans!$A$2:$B$83, 2, FALSE), "")</f>
        <v/>
      </c>
      <c r="AY14" s="351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1" t="str">
        <f>IF('Indoor Lighting'!E14="Metal Halide", VLOOKUP('Indoor Lighting'!E14&amp;", "&amp;'Indoor Lighting'!I14, LightTrans!$A$2:$K$94, 2, FALSE), "")</f>
        <v/>
      </c>
    </row>
    <row r="15" spans="1:52" s="2" customFormat="1" ht="22.95" hidden="1" customHeight="1" x14ac:dyDescent="0.3">
      <c r="A15" s="372">
        <v>14</v>
      </c>
      <c r="B15" s="373"/>
      <c r="C15" s="373"/>
      <c r="D15" s="374"/>
      <c r="E15" s="368"/>
      <c r="F15" s="376"/>
      <c r="G15" s="376"/>
      <c r="H15" s="376"/>
      <c r="I15" s="375"/>
      <c r="J15" s="375"/>
      <c r="K15" s="376"/>
      <c r="L15" s="375"/>
      <c r="M15" s="375" t="str">
        <f>IF(E15="", "", IF('Facility Info'!$H$8="Y", IF(C15="Y", "Natural Gas", "None"), IF(C15="Y", "Heat Pump", "None")))</f>
        <v/>
      </c>
      <c r="N15" s="372"/>
      <c r="O15" s="372"/>
      <c r="P15" s="372"/>
      <c r="Q15" s="372"/>
      <c r="R15" s="375"/>
      <c r="S15" s="375"/>
      <c r="T15" s="377"/>
      <c r="AU15" s="353" t="str">
        <f t="shared" si="2"/>
        <v/>
      </c>
      <c r="AV15" s="2" t="str">
        <f t="shared" si="3"/>
        <v/>
      </c>
      <c r="AW15" s="351" t="str">
        <f>IF(OR('Indoor Lighting'!E15="Incandescent",'Indoor Lighting'!E15="Halogen"),VLOOKUP('Indoor Lighting'!E15&amp;", "&amp;'Indoor Lighting'!I15,LightTrans!$A$2:$B$83,2,FALSE), "")</f>
        <v/>
      </c>
      <c r="AX15" s="351" t="str">
        <f>IF('Indoor Lighting'!E15="CFL", VLOOKUP('Indoor Lighting'!E15&amp;", "&amp;'Indoor Lighting'!I15, LightTrans!$A$2:$B$83, 2, FALSE), "")</f>
        <v/>
      </c>
      <c r="AY15" s="351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1" t="str">
        <f>IF('Indoor Lighting'!E15="Metal Halide", VLOOKUP('Indoor Lighting'!E15&amp;", "&amp;'Indoor Lighting'!I15, LightTrans!$A$2:$K$94, 2, FALSE), "")</f>
        <v/>
      </c>
    </row>
    <row r="16" spans="1:52" s="2" customFormat="1" ht="22.95" hidden="1" customHeight="1" x14ac:dyDescent="0.3">
      <c r="A16" s="372">
        <v>15</v>
      </c>
      <c r="B16" s="366"/>
      <c r="C16" s="366"/>
      <c r="D16" s="367"/>
      <c r="E16" s="368"/>
      <c r="F16" s="369"/>
      <c r="G16" s="369"/>
      <c r="H16" s="369"/>
      <c r="I16" s="370"/>
      <c r="J16" s="375"/>
      <c r="K16" s="369"/>
      <c r="L16" s="370"/>
      <c r="M16" s="375" t="str">
        <f>IF(E16="", "", IF('Facility Info'!$H$8="Y", IF(C16="Y", "Natural Gas", "None"), IF(C16="Y", "Heat Pump", "None")))</f>
        <v/>
      </c>
      <c r="N16" s="365"/>
      <c r="O16" s="365"/>
      <c r="P16" s="365"/>
      <c r="Q16" s="365"/>
      <c r="R16" s="370"/>
      <c r="S16" s="370"/>
      <c r="T16" s="377"/>
      <c r="AU16" s="353" t="str">
        <f t="shared" si="2"/>
        <v/>
      </c>
      <c r="AV16" s="2" t="str">
        <f t="shared" si="3"/>
        <v/>
      </c>
      <c r="AW16" s="351" t="str">
        <f>IF(OR('Indoor Lighting'!E16="Incandescent",'Indoor Lighting'!E16="Halogen"),VLOOKUP('Indoor Lighting'!E16&amp;", "&amp;'Indoor Lighting'!I16,LightTrans!$A$2:$B$83,2,FALSE), "")</f>
        <v/>
      </c>
      <c r="AX16" s="351" t="str">
        <f>IF('Indoor Lighting'!E16="CFL", VLOOKUP('Indoor Lighting'!E16&amp;", "&amp;'Indoor Lighting'!I16, LightTrans!$A$2:$B$83, 2, FALSE), "")</f>
        <v/>
      </c>
      <c r="AY16" s="351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1" t="str">
        <f>IF('Indoor Lighting'!E16="Metal Halide", VLOOKUP('Indoor Lighting'!E16&amp;", "&amp;'Indoor Lighting'!I16, LightTrans!$A$2:$K$94, 2, FALSE), "")</f>
        <v/>
      </c>
    </row>
    <row r="17" spans="1:52" s="2" customFormat="1" ht="22.95" hidden="1" customHeight="1" x14ac:dyDescent="0.3">
      <c r="A17" s="372">
        <v>16</v>
      </c>
      <c r="B17" s="373"/>
      <c r="C17" s="373"/>
      <c r="D17" s="374"/>
      <c r="E17" s="368"/>
      <c r="F17" s="376"/>
      <c r="G17" s="376"/>
      <c r="H17" s="376"/>
      <c r="I17" s="375"/>
      <c r="J17" s="375"/>
      <c r="K17" s="369"/>
      <c r="L17" s="375"/>
      <c r="M17" s="375" t="str">
        <f>IF(E17="", "", IF('Facility Info'!$H$8="Y", IF(C17="Y", "Natural Gas", "None"), IF(C17="Y", "Heat Pump", "None")))</f>
        <v/>
      </c>
      <c r="N17" s="365"/>
      <c r="O17" s="365"/>
      <c r="P17" s="365"/>
      <c r="Q17" s="365"/>
      <c r="R17" s="375"/>
      <c r="S17" s="375"/>
      <c r="T17" s="377"/>
      <c r="AU17" s="353" t="str">
        <f t="shared" si="2"/>
        <v/>
      </c>
      <c r="AV17" s="2" t="str">
        <f t="shared" si="3"/>
        <v/>
      </c>
      <c r="AW17" s="351" t="str">
        <f>IF(OR('Indoor Lighting'!E17="Incandescent",'Indoor Lighting'!E17="Halogen"),VLOOKUP('Indoor Lighting'!E17&amp;", "&amp;'Indoor Lighting'!I17,LightTrans!$A$2:$B$83,2,FALSE), "")</f>
        <v/>
      </c>
      <c r="AX17" s="351" t="str">
        <f>IF('Indoor Lighting'!E17="CFL", VLOOKUP('Indoor Lighting'!E17&amp;", "&amp;'Indoor Lighting'!I17, LightTrans!$A$2:$B$83, 2, FALSE), "")</f>
        <v/>
      </c>
      <c r="AY17" s="351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1" t="str">
        <f>IF('Indoor Lighting'!E17="Metal Halide", VLOOKUP('Indoor Lighting'!E17&amp;", "&amp;'Indoor Lighting'!I17, LightTrans!$A$2:$K$94, 2, FALSE), "")</f>
        <v/>
      </c>
    </row>
    <row r="18" spans="1:52" s="2" customFormat="1" ht="22.95" hidden="1" customHeight="1" x14ac:dyDescent="0.3">
      <c r="A18" s="372">
        <v>17</v>
      </c>
      <c r="B18" s="366"/>
      <c r="C18" s="366"/>
      <c r="D18" s="367"/>
      <c r="E18" s="368"/>
      <c r="F18" s="369"/>
      <c r="G18" s="369"/>
      <c r="H18" s="369"/>
      <c r="I18" s="370"/>
      <c r="J18" s="375"/>
      <c r="K18" s="369"/>
      <c r="L18" s="370"/>
      <c r="M18" s="375" t="str">
        <f>IF(E18="", "", IF('Facility Info'!$H$8="Y", IF(C18="Y", "Natural Gas", "None"), IF(C18="Y", "Heat Pump", "None")))</f>
        <v/>
      </c>
      <c r="N18" s="365"/>
      <c r="O18" s="365"/>
      <c r="P18" s="365"/>
      <c r="Q18" s="365"/>
      <c r="R18" s="370"/>
      <c r="S18" s="370"/>
      <c r="T18" s="377"/>
      <c r="AU18" s="353" t="str">
        <f t="shared" si="2"/>
        <v/>
      </c>
      <c r="AV18" s="2" t="str">
        <f t="shared" si="3"/>
        <v/>
      </c>
      <c r="AW18" s="351" t="str">
        <f>IF(OR('Indoor Lighting'!E18="Incandescent",'Indoor Lighting'!E18="Halogen"),VLOOKUP('Indoor Lighting'!E18&amp;", "&amp;'Indoor Lighting'!I18,LightTrans!$A$2:$B$83,2,FALSE), "")</f>
        <v/>
      </c>
      <c r="AX18" s="351" t="str">
        <f>IF('Indoor Lighting'!E18="CFL", VLOOKUP('Indoor Lighting'!E18&amp;", "&amp;'Indoor Lighting'!I18, LightTrans!$A$2:$B$83, 2, FALSE), "")</f>
        <v/>
      </c>
      <c r="AY18" s="351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1" t="str">
        <f>IF('Indoor Lighting'!E18="Metal Halide", VLOOKUP('Indoor Lighting'!E18&amp;", "&amp;'Indoor Lighting'!I18, LightTrans!$A$2:$K$94, 2, FALSE), "")</f>
        <v/>
      </c>
    </row>
    <row r="19" spans="1:52" s="2" customFormat="1" ht="22.95" hidden="1" customHeight="1" x14ac:dyDescent="0.3">
      <c r="A19" s="372">
        <v>18</v>
      </c>
      <c r="B19" s="373"/>
      <c r="C19" s="373"/>
      <c r="D19" s="374"/>
      <c r="E19" s="368"/>
      <c r="F19" s="376"/>
      <c r="G19" s="376"/>
      <c r="H19" s="376"/>
      <c r="I19" s="375"/>
      <c r="J19" s="375"/>
      <c r="K19" s="369"/>
      <c r="L19" s="375"/>
      <c r="M19" s="375" t="str">
        <f>IF(E19="", "", IF('Facility Info'!$H$8="Y", IF(C19="Y", "Natural Gas", "None"), IF(C19="Y", "Heat Pump", "None")))</f>
        <v/>
      </c>
      <c r="N19" s="365"/>
      <c r="O19" s="365"/>
      <c r="P19" s="365"/>
      <c r="Q19" s="365"/>
      <c r="R19" s="375"/>
      <c r="S19" s="375"/>
      <c r="T19" s="377"/>
      <c r="AU19" s="353" t="str">
        <f t="shared" si="2"/>
        <v/>
      </c>
      <c r="AV19" s="2" t="str">
        <f t="shared" si="3"/>
        <v/>
      </c>
      <c r="AW19" s="351" t="str">
        <f>IF(OR('Indoor Lighting'!E19="Incandescent",'Indoor Lighting'!E19="Halogen"),VLOOKUP('Indoor Lighting'!E19&amp;", "&amp;'Indoor Lighting'!I19,LightTrans!$A$2:$B$83,2,FALSE), "")</f>
        <v/>
      </c>
      <c r="AX19" s="351" t="str">
        <f>IF('Indoor Lighting'!E19="CFL", VLOOKUP('Indoor Lighting'!E19&amp;", "&amp;'Indoor Lighting'!I19, LightTrans!$A$2:$B$83, 2, FALSE), "")</f>
        <v/>
      </c>
      <c r="AY19" s="351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1" t="str">
        <f>IF('Indoor Lighting'!E19="Metal Halide", VLOOKUP('Indoor Lighting'!E19&amp;", "&amp;'Indoor Lighting'!I19, LightTrans!$A$2:$K$94, 2, FALSE), "")</f>
        <v/>
      </c>
    </row>
    <row r="20" spans="1:52" s="2" customFormat="1" ht="22.95" hidden="1" customHeight="1" x14ac:dyDescent="0.3">
      <c r="A20" s="372">
        <v>19</v>
      </c>
      <c r="B20" s="366"/>
      <c r="C20" s="366"/>
      <c r="D20" s="367"/>
      <c r="E20" s="368"/>
      <c r="F20" s="369"/>
      <c r="G20" s="369"/>
      <c r="H20" s="369"/>
      <c r="I20" s="370"/>
      <c r="J20" s="375"/>
      <c r="K20" s="369"/>
      <c r="L20" s="370"/>
      <c r="M20" s="375" t="str">
        <f>IF(E20="", "", IF('Facility Info'!$H$8="Y", IF(C20="Y", "Natural Gas", "None"), IF(C20="Y", "Heat Pump", "None")))</f>
        <v/>
      </c>
      <c r="N20" s="365"/>
      <c r="O20" s="365"/>
      <c r="P20" s="365"/>
      <c r="Q20" s="365"/>
      <c r="R20" s="370"/>
      <c r="S20" s="370"/>
      <c r="T20" s="377"/>
      <c r="AU20" s="353" t="str">
        <f t="shared" si="2"/>
        <v/>
      </c>
      <c r="AV20" s="2" t="str">
        <f t="shared" si="3"/>
        <v/>
      </c>
      <c r="AW20" s="351" t="str">
        <f>IF(OR('Indoor Lighting'!E20="Incandescent",'Indoor Lighting'!E20="Halogen"),VLOOKUP('Indoor Lighting'!E20&amp;", "&amp;'Indoor Lighting'!I20,LightTrans!$A$2:$B$83,2,FALSE), "")</f>
        <v/>
      </c>
      <c r="AX20" s="351" t="str">
        <f>IF('Indoor Lighting'!E20="CFL", VLOOKUP('Indoor Lighting'!E20&amp;", "&amp;'Indoor Lighting'!I20, LightTrans!$A$2:$B$83, 2, FALSE), "")</f>
        <v/>
      </c>
      <c r="AY20" s="351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1" t="str">
        <f>IF('Indoor Lighting'!E20="Metal Halide", VLOOKUP('Indoor Lighting'!E20&amp;", "&amp;'Indoor Lighting'!I20, LightTrans!$A$2:$K$94, 2, FALSE), "")</f>
        <v/>
      </c>
    </row>
    <row r="21" spans="1:52" s="2" customFormat="1" ht="22.95" hidden="1" customHeight="1" x14ac:dyDescent="0.3">
      <c r="A21" s="372">
        <v>20</v>
      </c>
      <c r="B21" s="373"/>
      <c r="C21" s="373"/>
      <c r="D21" s="374"/>
      <c r="E21" s="368"/>
      <c r="F21" s="376"/>
      <c r="G21" s="376"/>
      <c r="H21" s="376"/>
      <c r="I21" s="375"/>
      <c r="J21" s="375"/>
      <c r="K21" s="369"/>
      <c r="L21" s="375"/>
      <c r="M21" s="375" t="str">
        <f>IF(E21="", "", IF('Facility Info'!$H$8="Y", IF(C21="Y", "Natural Gas", "None"), IF(C21="Y", "Heat Pump", "None")))</f>
        <v/>
      </c>
      <c r="N21" s="365"/>
      <c r="O21" s="365"/>
      <c r="P21" s="365"/>
      <c r="Q21" s="365"/>
      <c r="R21" s="375"/>
      <c r="S21" s="375"/>
      <c r="T21" s="377"/>
      <c r="AU21" s="353" t="str">
        <f t="shared" si="2"/>
        <v/>
      </c>
      <c r="AV21" s="2" t="str">
        <f t="shared" si="3"/>
        <v/>
      </c>
      <c r="AW21" s="351" t="str">
        <f>IF(OR('Indoor Lighting'!E21="Incandescent",'Indoor Lighting'!E21="Halogen"),VLOOKUP('Indoor Lighting'!E21&amp;", "&amp;'Indoor Lighting'!I21,LightTrans!$A$2:$B$83,2,FALSE), "")</f>
        <v/>
      </c>
      <c r="AX21" s="351" t="str">
        <f>IF('Indoor Lighting'!E21="CFL", VLOOKUP('Indoor Lighting'!E21&amp;", "&amp;'Indoor Lighting'!I21, LightTrans!$A$2:$B$83, 2, FALSE), "")</f>
        <v/>
      </c>
      <c r="AY21" s="351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1" t="str">
        <f>IF('Indoor Lighting'!E21="Metal Halide", VLOOKUP('Indoor Lighting'!E21&amp;", "&amp;'Indoor Lighting'!I21, LightTrans!$A$2:$K$94, 2, FALSE), "")</f>
        <v/>
      </c>
    </row>
    <row r="22" spans="1:52" s="2" customFormat="1" ht="22.95" hidden="1" customHeight="1" x14ac:dyDescent="0.3">
      <c r="A22" s="372">
        <v>21</v>
      </c>
      <c r="B22" s="366"/>
      <c r="C22" s="366"/>
      <c r="D22" s="367"/>
      <c r="E22" s="368"/>
      <c r="F22" s="369"/>
      <c r="G22" s="369"/>
      <c r="H22" s="369"/>
      <c r="I22" s="370"/>
      <c r="J22" s="375"/>
      <c r="K22" s="369"/>
      <c r="L22" s="370"/>
      <c r="M22" s="375" t="str">
        <f>IF(E22="", "", IF('Facility Info'!$H$8="Y", IF(C22="Y", "Natural Gas", "None"), IF(C22="Y", "Heat Pump", "None")))</f>
        <v/>
      </c>
      <c r="N22" s="365"/>
      <c r="O22" s="365"/>
      <c r="P22" s="365"/>
      <c r="Q22" s="365"/>
      <c r="R22" s="370"/>
      <c r="S22" s="370"/>
      <c r="T22" s="377"/>
      <c r="AU22" s="353" t="str">
        <f t="shared" si="2"/>
        <v/>
      </c>
      <c r="AV22" s="2" t="str">
        <f t="shared" si="3"/>
        <v/>
      </c>
      <c r="AW22" s="351" t="str">
        <f>IF(OR('Indoor Lighting'!E22="Incandescent",'Indoor Lighting'!E22="Halogen"),VLOOKUP('Indoor Lighting'!E22&amp;", "&amp;'Indoor Lighting'!I22,LightTrans!$A$2:$B$83,2,FALSE), "")</f>
        <v/>
      </c>
      <c r="AX22" s="351" t="str">
        <f>IF('Indoor Lighting'!E22="CFL", VLOOKUP('Indoor Lighting'!E22&amp;", "&amp;'Indoor Lighting'!I22, LightTrans!$A$2:$B$83, 2, FALSE), "")</f>
        <v/>
      </c>
      <c r="AY22" s="351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1" t="str">
        <f>IF('Indoor Lighting'!E22="Metal Halide", VLOOKUP('Indoor Lighting'!E22&amp;", "&amp;'Indoor Lighting'!I22, LightTrans!$A$2:$K$94, 2, FALSE), "")</f>
        <v/>
      </c>
    </row>
    <row r="23" spans="1:52" s="2" customFormat="1" ht="22.95" hidden="1" customHeight="1" x14ac:dyDescent="0.3">
      <c r="A23" s="372">
        <v>22</v>
      </c>
      <c r="B23" s="373"/>
      <c r="C23" s="373"/>
      <c r="D23" s="374"/>
      <c r="E23" s="368"/>
      <c r="F23" s="376"/>
      <c r="G23" s="376"/>
      <c r="H23" s="376"/>
      <c r="I23" s="375"/>
      <c r="J23" s="375"/>
      <c r="K23" s="369"/>
      <c r="L23" s="375"/>
      <c r="M23" s="375" t="str">
        <f>IF(E23="", "", IF('Facility Info'!$H$8="Y", IF(C23="Y", "Natural Gas", "None"), IF(C23="Y", "Heat Pump", "None")))</f>
        <v/>
      </c>
      <c r="N23" s="365"/>
      <c r="O23" s="365"/>
      <c r="P23" s="365"/>
      <c r="Q23" s="365"/>
      <c r="R23" s="375"/>
      <c r="S23" s="375"/>
      <c r="T23" s="377"/>
      <c r="AU23" s="353" t="str">
        <f t="shared" si="2"/>
        <v/>
      </c>
      <c r="AV23" s="2" t="str">
        <f t="shared" si="3"/>
        <v/>
      </c>
      <c r="AW23" s="351" t="str">
        <f>IF(OR('Indoor Lighting'!E23="Incandescent",'Indoor Lighting'!E23="Halogen"),VLOOKUP('Indoor Lighting'!E23&amp;", "&amp;'Indoor Lighting'!I23,LightTrans!$A$2:$B$83,2,FALSE), "")</f>
        <v/>
      </c>
      <c r="AX23" s="351" t="str">
        <f>IF('Indoor Lighting'!E23="CFL", VLOOKUP('Indoor Lighting'!E23&amp;", "&amp;'Indoor Lighting'!I23, LightTrans!$A$2:$B$83, 2, FALSE), "")</f>
        <v/>
      </c>
      <c r="AY23" s="351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1" t="str">
        <f>IF('Indoor Lighting'!E23="Metal Halide", VLOOKUP('Indoor Lighting'!E23&amp;", "&amp;'Indoor Lighting'!I23, LightTrans!$A$2:$K$94, 2, FALSE), "")</f>
        <v/>
      </c>
    </row>
    <row r="24" spans="1:52" s="2" customFormat="1" ht="22.95" hidden="1" customHeight="1" x14ac:dyDescent="0.3">
      <c r="A24" s="372">
        <v>23</v>
      </c>
      <c r="B24" s="366"/>
      <c r="C24" s="366"/>
      <c r="D24" s="367"/>
      <c r="E24" s="368"/>
      <c r="F24" s="369"/>
      <c r="G24" s="369"/>
      <c r="H24" s="369"/>
      <c r="I24" s="370"/>
      <c r="J24" s="375"/>
      <c r="K24" s="369"/>
      <c r="L24" s="370"/>
      <c r="M24" s="375" t="str">
        <f>IF(E24="", "", IF('Facility Info'!$H$8="Y", IF(C24="Y", "Natural Gas", "None"), IF(C24="Y", "Heat Pump", "None")))</f>
        <v/>
      </c>
      <c r="N24" s="365"/>
      <c r="O24" s="365"/>
      <c r="P24" s="365"/>
      <c r="Q24" s="365"/>
      <c r="R24" s="370"/>
      <c r="S24" s="370"/>
      <c r="T24" s="377"/>
      <c r="AU24" s="353" t="str">
        <f t="shared" si="2"/>
        <v/>
      </c>
      <c r="AV24" s="2" t="str">
        <f t="shared" si="3"/>
        <v/>
      </c>
      <c r="AW24" s="351" t="str">
        <f>IF(OR('Indoor Lighting'!E24="Incandescent",'Indoor Lighting'!E24="Halogen"),VLOOKUP('Indoor Lighting'!E24&amp;", "&amp;'Indoor Lighting'!I24,LightTrans!$A$2:$B$83,2,FALSE), "")</f>
        <v/>
      </c>
      <c r="AX24" s="351" t="str">
        <f>IF('Indoor Lighting'!E24="CFL", VLOOKUP('Indoor Lighting'!E24&amp;", "&amp;'Indoor Lighting'!I24, LightTrans!$A$2:$B$83, 2, FALSE), "")</f>
        <v/>
      </c>
      <c r="AY24" s="351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1" t="str">
        <f>IF('Indoor Lighting'!E24="Metal Halide", VLOOKUP('Indoor Lighting'!E24&amp;", "&amp;'Indoor Lighting'!I24, LightTrans!$A$2:$K$94, 2, FALSE), "")</f>
        <v/>
      </c>
    </row>
    <row r="25" spans="1:52" s="2" customFormat="1" ht="22.95" hidden="1" customHeight="1" x14ac:dyDescent="0.3">
      <c r="A25" s="372">
        <v>24</v>
      </c>
      <c r="B25" s="373"/>
      <c r="C25" s="373"/>
      <c r="D25" s="374"/>
      <c r="E25" s="368"/>
      <c r="F25" s="376"/>
      <c r="G25" s="376"/>
      <c r="H25" s="376"/>
      <c r="I25" s="375"/>
      <c r="J25" s="375"/>
      <c r="K25" s="369"/>
      <c r="L25" s="375"/>
      <c r="M25" s="375" t="str">
        <f>IF(E25="", "", IF('Facility Info'!$H$8="Y", IF(C25="Y", "Natural Gas", "None"), IF(C25="Y", "Heat Pump", "None")))</f>
        <v/>
      </c>
      <c r="N25" s="365"/>
      <c r="O25" s="365"/>
      <c r="P25" s="365"/>
      <c r="Q25" s="365"/>
      <c r="R25" s="375"/>
      <c r="S25" s="375"/>
      <c r="T25" s="377"/>
      <c r="AU25" s="353" t="str">
        <f t="shared" si="2"/>
        <v/>
      </c>
      <c r="AV25" s="2" t="str">
        <f t="shared" si="3"/>
        <v/>
      </c>
      <c r="AW25" s="351" t="str">
        <f>IF(OR('Indoor Lighting'!E25="Incandescent",'Indoor Lighting'!E25="Halogen"),VLOOKUP('Indoor Lighting'!E25&amp;", "&amp;'Indoor Lighting'!I25,LightTrans!$A$2:$B$83,2,FALSE), "")</f>
        <v/>
      </c>
      <c r="AX25" s="351" t="str">
        <f>IF('Indoor Lighting'!E25="CFL", VLOOKUP('Indoor Lighting'!E25&amp;", "&amp;'Indoor Lighting'!I25, LightTrans!$A$2:$B$83, 2, FALSE), "")</f>
        <v/>
      </c>
      <c r="AY25" s="351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1" t="str">
        <f>IF('Indoor Lighting'!E25="Metal Halide", VLOOKUP('Indoor Lighting'!E25&amp;", "&amp;'Indoor Lighting'!I25, LightTrans!$A$2:$K$94, 2, FALSE), "")</f>
        <v/>
      </c>
    </row>
    <row r="26" spans="1:52" s="2" customFormat="1" ht="22.95" hidden="1" customHeight="1" x14ac:dyDescent="0.3">
      <c r="A26" s="372">
        <v>25</v>
      </c>
      <c r="B26" s="366"/>
      <c r="C26" s="366"/>
      <c r="D26" s="367"/>
      <c r="E26" s="368"/>
      <c r="F26" s="369"/>
      <c r="G26" s="369"/>
      <c r="H26" s="369"/>
      <c r="I26" s="370"/>
      <c r="J26" s="375"/>
      <c r="K26" s="369"/>
      <c r="L26" s="370"/>
      <c r="M26" s="375" t="str">
        <f>IF(E26="", "", IF('Facility Info'!$H$8="Y", IF(C26="Y", "Natural Gas", "None"), IF(C26="Y", "Heat Pump", "None")))</f>
        <v/>
      </c>
      <c r="N26" s="365"/>
      <c r="O26" s="365"/>
      <c r="P26" s="365"/>
      <c r="Q26" s="365"/>
      <c r="R26" s="370"/>
      <c r="S26" s="370"/>
      <c r="T26" s="377"/>
      <c r="AU26" s="353" t="str">
        <f t="shared" si="2"/>
        <v/>
      </c>
      <c r="AV26" s="2" t="str">
        <f t="shared" si="3"/>
        <v/>
      </c>
      <c r="AW26" s="351" t="str">
        <f>IF(OR('Indoor Lighting'!E26="Incandescent",'Indoor Lighting'!E26="Halogen"),VLOOKUP('Indoor Lighting'!E26&amp;", "&amp;'Indoor Lighting'!I26,LightTrans!$A$2:$B$83,2,FALSE), "")</f>
        <v/>
      </c>
      <c r="AX26" s="351" t="str">
        <f>IF('Indoor Lighting'!E26="CFL", VLOOKUP('Indoor Lighting'!E26&amp;", "&amp;'Indoor Lighting'!I26, LightTrans!$A$2:$B$83, 2, FALSE), "")</f>
        <v/>
      </c>
      <c r="AY26" s="351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1" t="str">
        <f>IF('Indoor Lighting'!E26="Metal Halide", VLOOKUP('Indoor Lighting'!E26&amp;", "&amp;'Indoor Lighting'!I26, LightTrans!$A$2:$K$94, 2, FALSE), "")</f>
        <v/>
      </c>
    </row>
    <row r="27" spans="1:52" s="2" customFormat="1" ht="22.95" hidden="1" customHeight="1" x14ac:dyDescent="0.3">
      <c r="A27" s="372">
        <v>26</v>
      </c>
      <c r="B27" s="373"/>
      <c r="C27" s="373"/>
      <c r="D27" s="374"/>
      <c r="E27" s="368"/>
      <c r="F27" s="376"/>
      <c r="G27" s="376"/>
      <c r="H27" s="376"/>
      <c r="I27" s="375"/>
      <c r="J27" s="375"/>
      <c r="K27" s="369"/>
      <c r="L27" s="375"/>
      <c r="M27" s="375" t="str">
        <f>IF(E27="", "", IF('Facility Info'!$H$8="Y", IF(C27="Y", "Natural Gas", "None"), IF(C27="Y", "Heat Pump", "None")))</f>
        <v/>
      </c>
      <c r="N27" s="365"/>
      <c r="O27" s="365"/>
      <c r="P27" s="365"/>
      <c r="Q27" s="365"/>
      <c r="R27" s="375"/>
      <c r="S27" s="375"/>
      <c r="T27" s="377"/>
      <c r="AU27" s="353" t="str">
        <f t="shared" si="2"/>
        <v/>
      </c>
      <c r="AV27" s="2" t="str">
        <f t="shared" si="3"/>
        <v/>
      </c>
      <c r="AW27" s="351" t="str">
        <f>IF(OR('Indoor Lighting'!E27="Incandescent",'Indoor Lighting'!E27="Halogen"),VLOOKUP('Indoor Lighting'!E27&amp;", "&amp;'Indoor Lighting'!I27,LightTrans!$A$2:$B$83,2,FALSE), "")</f>
        <v/>
      </c>
      <c r="AX27" s="351" t="str">
        <f>IF('Indoor Lighting'!E27="CFL", VLOOKUP('Indoor Lighting'!E27&amp;", "&amp;'Indoor Lighting'!I27, LightTrans!$A$2:$B$83, 2, FALSE), "")</f>
        <v/>
      </c>
      <c r="AY27" s="351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1" t="str">
        <f>IF('Indoor Lighting'!E27="Metal Halide", VLOOKUP('Indoor Lighting'!E27&amp;", "&amp;'Indoor Lighting'!I27, LightTrans!$A$2:$K$94, 2, FALSE), "")</f>
        <v/>
      </c>
    </row>
    <row r="28" spans="1:52" s="2" customFormat="1" ht="22.95" hidden="1" customHeight="1" x14ac:dyDescent="0.3">
      <c r="A28" s="372">
        <v>27</v>
      </c>
      <c r="B28" s="366"/>
      <c r="C28" s="366"/>
      <c r="D28" s="367"/>
      <c r="E28" s="368"/>
      <c r="F28" s="369"/>
      <c r="G28" s="369"/>
      <c r="H28" s="369"/>
      <c r="I28" s="370"/>
      <c r="J28" s="375"/>
      <c r="K28" s="369"/>
      <c r="L28" s="370"/>
      <c r="M28" s="375" t="str">
        <f>IF(E28="", "", IF('Facility Info'!$H$8="Y", IF(C28="Y", "Natural Gas", "None"), IF(C28="Y", "Heat Pump", "None")))</f>
        <v/>
      </c>
      <c r="N28" s="365"/>
      <c r="O28" s="365"/>
      <c r="P28" s="365"/>
      <c r="Q28" s="365"/>
      <c r="R28" s="370"/>
      <c r="S28" s="370"/>
      <c r="T28" s="377"/>
      <c r="AU28" s="353" t="str">
        <f t="shared" si="2"/>
        <v/>
      </c>
      <c r="AV28" s="2" t="str">
        <f t="shared" si="3"/>
        <v/>
      </c>
      <c r="AW28" s="351" t="str">
        <f>IF(OR('Indoor Lighting'!E28="Incandescent",'Indoor Lighting'!E28="Halogen"),VLOOKUP('Indoor Lighting'!E28&amp;", "&amp;'Indoor Lighting'!I28,LightTrans!$A$2:$B$83,2,FALSE), "")</f>
        <v/>
      </c>
      <c r="AX28" s="351" t="str">
        <f>IF('Indoor Lighting'!E28="CFL", VLOOKUP('Indoor Lighting'!E28&amp;", "&amp;'Indoor Lighting'!I28, LightTrans!$A$2:$B$83, 2, FALSE), "")</f>
        <v/>
      </c>
      <c r="AY28" s="351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1" t="str">
        <f>IF('Indoor Lighting'!E28="Metal Halide", VLOOKUP('Indoor Lighting'!E28&amp;", "&amp;'Indoor Lighting'!I28, LightTrans!$A$2:$K$94, 2, FALSE), "")</f>
        <v/>
      </c>
    </row>
    <row r="29" spans="1:52" s="2" customFormat="1" ht="22.95" hidden="1" customHeight="1" x14ac:dyDescent="0.3">
      <c r="A29" s="372">
        <v>28</v>
      </c>
      <c r="B29" s="373"/>
      <c r="C29" s="373"/>
      <c r="D29" s="374"/>
      <c r="E29" s="368"/>
      <c r="F29" s="376"/>
      <c r="G29" s="376"/>
      <c r="H29" s="376"/>
      <c r="I29" s="375"/>
      <c r="J29" s="375"/>
      <c r="K29" s="369"/>
      <c r="L29" s="375"/>
      <c r="M29" s="375" t="str">
        <f>IF(E29="", "", IF('Facility Info'!$H$8="Y", IF(C29="Y", "Natural Gas", "None"), IF(C29="Y", "Heat Pump", "None")))</f>
        <v/>
      </c>
      <c r="N29" s="365"/>
      <c r="O29" s="365"/>
      <c r="P29" s="365"/>
      <c r="Q29" s="365"/>
      <c r="R29" s="375"/>
      <c r="S29" s="375"/>
      <c r="T29" s="377"/>
      <c r="AU29" s="353" t="str">
        <f t="shared" si="2"/>
        <v/>
      </c>
      <c r="AV29" s="2" t="str">
        <f t="shared" si="3"/>
        <v/>
      </c>
      <c r="AW29" s="351" t="str">
        <f>IF(OR('Indoor Lighting'!E29="Incandescent",'Indoor Lighting'!E29="Halogen"),VLOOKUP('Indoor Lighting'!E29&amp;", "&amp;'Indoor Lighting'!I29,LightTrans!$A$2:$B$83,2,FALSE), "")</f>
        <v/>
      </c>
      <c r="AX29" s="351" t="str">
        <f>IF('Indoor Lighting'!E29="CFL", VLOOKUP('Indoor Lighting'!E29&amp;", "&amp;'Indoor Lighting'!I29, LightTrans!$A$2:$B$83, 2, FALSE), "")</f>
        <v/>
      </c>
      <c r="AY29" s="351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1" t="str">
        <f>IF('Indoor Lighting'!E29="Metal Halide", VLOOKUP('Indoor Lighting'!E29&amp;", "&amp;'Indoor Lighting'!I29, LightTrans!$A$2:$K$94, 2, FALSE), "")</f>
        <v/>
      </c>
    </row>
    <row r="30" spans="1:52" s="2" customFormat="1" ht="22.95" hidden="1" customHeight="1" x14ac:dyDescent="0.3">
      <c r="A30" s="372">
        <v>29</v>
      </c>
      <c r="B30" s="366"/>
      <c r="C30" s="366"/>
      <c r="D30" s="367"/>
      <c r="E30" s="368"/>
      <c r="F30" s="369"/>
      <c r="G30" s="369"/>
      <c r="H30" s="369"/>
      <c r="I30" s="370"/>
      <c r="J30" s="375"/>
      <c r="K30" s="369"/>
      <c r="L30" s="370"/>
      <c r="M30" s="375" t="str">
        <f>IF(E30="", "", IF('Facility Info'!$H$8="Y", IF(C30="Y", "Natural Gas", "None"), IF(C30="Y", "Heat Pump", "None")))</f>
        <v/>
      </c>
      <c r="N30" s="365"/>
      <c r="O30" s="365"/>
      <c r="P30" s="365"/>
      <c r="Q30" s="365"/>
      <c r="R30" s="370"/>
      <c r="S30" s="370"/>
      <c r="T30" s="377"/>
      <c r="AU30" s="353" t="str">
        <f t="shared" si="2"/>
        <v/>
      </c>
      <c r="AV30" s="2" t="str">
        <f t="shared" si="3"/>
        <v/>
      </c>
      <c r="AW30" s="351" t="str">
        <f>IF(OR('Indoor Lighting'!E30="Incandescent",'Indoor Lighting'!E30="Halogen"),VLOOKUP('Indoor Lighting'!E30&amp;", "&amp;'Indoor Lighting'!I30,LightTrans!$A$2:$B$83,2,FALSE), "")</f>
        <v/>
      </c>
      <c r="AX30" s="351" t="str">
        <f>IF('Indoor Lighting'!E30="CFL", VLOOKUP('Indoor Lighting'!E30&amp;", "&amp;'Indoor Lighting'!I30, LightTrans!$A$2:$B$83, 2, FALSE), "")</f>
        <v/>
      </c>
      <c r="AY30" s="351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1" t="str">
        <f>IF('Indoor Lighting'!E30="Metal Halide", VLOOKUP('Indoor Lighting'!E30&amp;", "&amp;'Indoor Lighting'!I30, LightTrans!$A$2:$K$94, 2, FALSE), "")</f>
        <v/>
      </c>
    </row>
    <row r="31" spans="1:52" s="2" customFormat="1" ht="22.95" hidden="1" customHeight="1" x14ac:dyDescent="0.3">
      <c r="A31" s="372">
        <v>30</v>
      </c>
      <c r="B31" s="373"/>
      <c r="C31" s="373"/>
      <c r="D31" s="374"/>
      <c r="E31" s="368"/>
      <c r="F31" s="376"/>
      <c r="G31" s="376"/>
      <c r="H31" s="376"/>
      <c r="I31" s="375"/>
      <c r="J31" s="375"/>
      <c r="K31" s="369"/>
      <c r="L31" s="375"/>
      <c r="M31" s="375" t="str">
        <f>IF(E31="", "", IF('Facility Info'!$H$8="Y", IF(C31="Y", "Natural Gas", "None"), IF(C31="Y", "Heat Pump", "None")))</f>
        <v/>
      </c>
      <c r="N31" s="365"/>
      <c r="O31" s="365"/>
      <c r="P31" s="365"/>
      <c r="Q31" s="365"/>
      <c r="R31" s="375"/>
      <c r="S31" s="375"/>
      <c r="T31" s="377"/>
      <c r="AU31" s="353" t="str">
        <f t="shared" si="2"/>
        <v/>
      </c>
      <c r="AV31" s="2" t="str">
        <f t="shared" si="3"/>
        <v/>
      </c>
      <c r="AW31" s="351" t="str">
        <f>IF(OR('Indoor Lighting'!E31="Incandescent",'Indoor Lighting'!E31="Halogen"),VLOOKUP('Indoor Lighting'!E31&amp;", "&amp;'Indoor Lighting'!I31,LightTrans!$A$2:$B$83,2,FALSE), "")</f>
        <v/>
      </c>
      <c r="AX31" s="351" t="str">
        <f>IF('Indoor Lighting'!E31="CFL", VLOOKUP('Indoor Lighting'!E31&amp;", "&amp;'Indoor Lighting'!I31, LightTrans!$A$2:$B$83, 2, FALSE), "")</f>
        <v/>
      </c>
      <c r="AY31" s="351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1" t="str">
        <f>IF('Indoor Lighting'!E31="Metal Halide", VLOOKUP('Indoor Lighting'!E31&amp;", "&amp;'Indoor Lighting'!I31, LightTrans!$A$2:$K$94, 2, FALSE), "")</f>
        <v/>
      </c>
    </row>
    <row r="32" spans="1:52" s="2" customFormat="1" ht="22.95" hidden="1" customHeight="1" x14ac:dyDescent="0.3">
      <c r="A32" s="372">
        <v>31</v>
      </c>
      <c r="B32" s="366"/>
      <c r="C32" s="366"/>
      <c r="D32" s="367"/>
      <c r="E32" s="368"/>
      <c r="F32" s="369"/>
      <c r="G32" s="369"/>
      <c r="H32" s="369"/>
      <c r="I32" s="370"/>
      <c r="J32" s="375"/>
      <c r="K32" s="369"/>
      <c r="L32" s="370"/>
      <c r="M32" s="375" t="str">
        <f>IF(E32="", "", IF('Facility Info'!$H$8="Y", IF(C32="Y", "Natural Gas", "None"), IF(C32="Y", "Heat Pump", "None")))</f>
        <v/>
      </c>
      <c r="N32" s="365"/>
      <c r="O32" s="365"/>
      <c r="P32" s="365"/>
      <c r="Q32" s="365"/>
      <c r="R32" s="370"/>
      <c r="S32" s="370"/>
      <c r="T32" s="377"/>
      <c r="AU32" s="353" t="str">
        <f t="shared" si="2"/>
        <v/>
      </c>
      <c r="AV32" s="2" t="str">
        <f t="shared" si="3"/>
        <v/>
      </c>
      <c r="AW32" s="351" t="str">
        <f>IF(OR('Indoor Lighting'!E32="Incandescent",'Indoor Lighting'!E32="Halogen"),VLOOKUP('Indoor Lighting'!E32&amp;", "&amp;'Indoor Lighting'!I32,LightTrans!$A$2:$B$83,2,FALSE), "")</f>
        <v/>
      </c>
      <c r="AX32" s="351" t="str">
        <f>IF('Indoor Lighting'!E32="CFL", VLOOKUP('Indoor Lighting'!E32&amp;", "&amp;'Indoor Lighting'!I32, LightTrans!$A$2:$B$83, 2, FALSE), "")</f>
        <v/>
      </c>
      <c r="AY32" s="351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1" t="str">
        <f>IF('Indoor Lighting'!E32="Metal Halide", VLOOKUP('Indoor Lighting'!E32&amp;", "&amp;'Indoor Lighting'!I32, LightTrans!$A$2:$K$94, 2, FALSE), "")</f>
        <v/>
      </c>
    </row>
    <row r="33" spans="1:52" s="2" customFormat="1" ht="22.95" hidden="1" customHeight="1" x14ac:dyDescent="0.3">
      <c r="A33" s="372">
        <v>32</v>
      </c>
      <c r="B33" s="373"/>
      <c r="C33" s="373"/>
      <c r="D33" s="374"/>
      <c r="E33" s="368"/>
      <c r="F33" s="376"/>
      <c r="G33" s="376"/>
      <c r="H33" s="376"/>
      <c r="I33" s="375"/>
      <c r="J33" s="375"/>
      <c r="K33" s="369"/>
      <c r="L33" s="375"/>
      <c r="M33" s="375" t="str">
        <f>IF(E33="", "", IF('Facility Info'!$H$8="Y", IF(C33="Y", "Natural Gas", "None"), IF(C33="Y", "Heat Pump", "None")))</f>
        <v/>
      </c>
      <c r="N33" s="365"/>
      <c r="O33" s="365"/>
      <c r="P33" s="365"/>
      <c r="Q33" s="365"/>
      <c r="R33" s="375"/>
      <c r="S33" s="375"/>
      <c r="T33" s="377"/>
      <c r="AU33" s="353" t="str">
        <f t="shared" si="2"/>
        <v/>
      </c>
      <c r="AV33" s="2" t="str">
        <f t="shared" si="3"/>
        <v/>
      </c>
      <c r="AW33" s="351" t="str">
        <f>IF(OR('Indoor Lighting'!E33="Incandescent",'Indoor Lighting'!E33="Halogen"),VLOOKUP('Indoor Lighting'!E33&amp;", "&amp;'Indoor Lighting'!I33,LightTrans!$A$2:$B$83,2,FALSE), "")</f>
        <v/>
      </c>
      <c r="AX33" s="351" t="str">
        <f>IF('Indoor Lighting'!E33="CFL", VLOOKUP('Indoor Lighting'!E33&amp;", "&amp;'Indoor Lighting'!I33, LightTrans!$A$2:$B$83, 2, FALSE), "")</f>
        <v/>
      </c>
      <c r="AY33" s="351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1" t="str">
        <f>IF('Indoor Lighting'!E33="Metal Halide", VLOOKUP('Indoor Lighting'!E33&amp;", "&amp;'Indoor Lighting'!I33, LightTrans!$A$2:$K$94, 2, FALSE), "")</f>
        <v/>
      </c>
    </row>
    <row r="34" spans="1:52" s="2" customFormat="1" ht="22.95" hidden="1" customHeight="1" x14ac:dyDescent="0.3">
      <c r="A34" s="372">
        <v>33</v>
      </c>
      <c r="B34" s="366"/>
      <c r="C34" s="366"/>
      <c r="D34" s="367"/>
      <c r="E34" s="368"/>
      <c r="F34" s="369"/>
      <c r="G34" s="369"/>
      <c r="H34" s="369"/>
      <c r="I34" s="370"/>
      <c r="J34" s="375"/>
      <c r="K34" s="369"/>
      <c r="L34" s="370"/>
      <c r="M34" s="375" t="str">
        <f>IF(E34="", "", IF('Facility Info'!$H$8="Y", IF(C34="Y", "Natural Gas", "None"), IF(C34="Y", "Heat Pump", "None")))</f>
        <v/>
      </c>
      <c r="N34" s="365"/>
      <c r="O34" s="365"/>
      <c r="P34" s="365"/>
      <c r="Q34" s="365"/>
      <c r="R34" s="370"/>
      <c r="S34" s="370"/>
      <c r="T34" s="377"/>
      <c r="AU34" s="353" t="str">
        <f t="shared" si="2"/>
        <v/>
      </c>
      <c r="AV34" s="2" t="str">
        <f t="shared" si="3"/>
        <v/>
      </c>
      <c r="AW34" s="351" t="str">
        <f>IF(OR('Indoor Lighting'!E34="Incandescent",'Indoor Lighting'!E34="Halogen"),VLOOKUP('Indoor Lighting'!E34&amp;", "&amp;'Indoor Lighting'!I34,LightTrans!$A$2:$B$83,2,FALSE), "")</f>
        <v/>
      </c>
      <c r="AX34" s="351" t="str">
        <f>IF('Indoor Lighting'!E34="CFL", VLOOKUP('Indoor Lighting'!E34&amp;", "&amp;'Indoor Lighting'!I34, LightTrans!$A$2:$B$83, 2, FALSE), "")</f>
        <v/>
      </c>
      <c r="AY34" s="351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1" t="str">
        <f>IF('Indoor Lighting'!E34="Metal Halide", VLOOKUP('Indoor Lighting'!E34&amp;", "&amp;'Indoor Lighting'!I34, LightTrans!$A$2:$K$94, 2, FALSE), "")</f>
        <v/>
      </c>
    </row>
    <row r="35" spans="1:52" s="2" customFormat="1" ht="22.95" hidden="1" customHeight="1" x14ac:dyDescent="0.3">
      <c r="A35" s="372">
        <v>34</v>
      </c>
      <c r="B35" s="373"/>
      <c r="C35" s="373"/>
      <c r="D35" s="374"/>
      <c r="E35" s="368"/>
      <c r="F35" s="376"/>
      <c r="G35" s="376"/>
      <c r="H35" s="376"/>
      <c r="I35" s="375"/>
      <c r="J35" s="375"/>
      <c r="K35" s="369"/>
      <c r="L35" s="375"/>
      <c r="M35" s="375" t="str">
        <f>IF(E35="", "", IF('Facility Info'!$H$8="Y", IF(C35="Y", "Natural Gas", "None"), IF(C35="Y", "Heat Pump", "None")))</f>
        <v/>
      </c>
      <c r="N35" s="365"/>
      <c r="O35" s="365"/>
      <c r="P35" s="365"/>
      <c r="Q35" s="365"/>
      <c r="R35" s="375"/>
      <c r="S35" s="375"/>
      <c r="T35" s="377"/>
      <c r="AU35" s="353" t="str">
        <f t="shared" si="2"/>
        <v/>
      </c>
      <c r="AV35" s="2" t="str">
        <f t="shared" si="3"/>
        <v/>
      </c>
      <c r="AW35" s="351" t="str">
        <f>IF(OR('Indoor Lighting'!E35="Incandescent",'Indoor Lighting'!E35="Halogen"),VLOOKUP('Indoor Lighting'!E35&amp;", "&amp;'Indoor Lighting'!I35,LightTrans!$A$2:$B$83,2,FALSE), "")</f>
        <v/>
      </c>
      <c r="AX35" s="351" t="str">
        <f>IF('Indoor Lighting'!E35="CFL", VLOOKUP('Indoor Lighting'!E35&amp;", "&amp;'Indoor Lighting'!I35, LightTrans!$A$2:$B$83, 2, FALSE), "")</f>
        <v/>
      </c>
      <c r="AY35" s="351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1" t="str">
        <f>IF('Indoor Lighting'!E35="Metal Halide", VLOOKUP('Indoor Lighting'!E35&amp;", "&amp;'Indoor Lighting'!I35, LightTrans!$A$2:$K$94, 2, FALSE), "")</f>
        <v/>
      </c>
    </row>
    <row r="36" spans="1:52" s="2" customFormat="1" ht="22.95" hidden="1" customHeight="1" x14ac:dyDescent="0.3">
      <c r="A36" s="372">
        <v>35</v>
      </c>
      <c r="B36" s="366"/>
      <c r="C36" s="366"/>
      <c r="D36" s="367"/>
      <c r="E36" s="368"/>
      <c r="F36" s="369"/>
      <c r="G36" s="369"/>
      <c r="H36" s="369"/>
      <c r="I36" s="370"/>
      <c r="J36" s="375"/>
      <c r="K36" s="369"/>
      <c r="L36" s="370"/>
      <c r="M36" s="375" t="str">
        <f>IF(E36="", "", IF('Facility Info'!$H$8="Y", IF(C36="Y", "Natural Gas", "None"), IF(C36="Y", "Heat Pump", "None")))</f>
        <v/>
      </c>
      <c r="N36" s="365"/>
      <c r="O36" s="365"/>
      <c r="P36" s="365"/>
      <c r="Q36" s="365"/>
      <c r="R36" s="370"/>
      <c r="S36" s="370"/>
      <c r="T36" s="377"/>
      <c r="AU36" s="353" t="str">
        <f t="shared" si="2"/>
        <v/>
      </c>
      <c r="AV36" s="2" t="str">
        <f t="shared" si="3"/>
        <v/>
      </c>
      <c r="AW36" s="351" t="str">
        <f>IF(OR('Indoor Lighting'!E36="Incandescent",'Indoor Lighting'!E36="Halogen"),VLOOKUP('Indoor Lighting'!E36&amp;", "&amp;'Indoor Lighting'!I36,LightTrans!$A$2:$B$83,2,FALSE), "")</f>
        <v/>
      </c>
      <c r="AX36" s="351" t="str">
        <f>IF('Indoor Lighting'!E36="CFL", VLOOKUP('Indoor Lighting'!E36&amp;", "&amp;'Indoor Lighting'!I36, LightTrans!$A$2:$B$83, 2, FALSE), "")</f>
        <v/>
      </c>
      <c r="AY36" s="351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1" t="str">
        <f>IF('Indoor Lighting'!E36="Metal Halide", VLOOKUP('Indoor Lighting'!E36&amp;", "&amp;'Indoor Lighting'!I36, LightTrans!$A$2:$K$94, 2, FALSE), "")</f>
        <v/>
      </c>
    </row>
    <row r="37" spans="1:52" s="2" customFormat="1" ht="22.95" hidden="1" customHeight="1" x14ac:dyDescent="0.3">
      <c r="A37" s="372">
        <v>36</v>
      </c>
      <c r="B37" s="373"/>
      <c r="C37" s="373"/>
      <c r="D37" s="374"/>
      <c r="E37" s="368"/>
      <c r="F37" s="376"/>
      <c r="G37" s="376"/>
      <c r="H37" s="376"/>
      <c r="I37" s="375"/>
      <c r="J37" s="375"/>
      <c r="K37" s="369"/>
      <c r="L37" s="375"/>
      <c r="M37" s="375" t="str">
        <f>IF(E37="", "", IF('Facility Info'!$H$8="Y", IF(C37="Y", "Natural Gas", "None"), IF(C37="Y", "Heat Pump", "None")))</f>
        <v/>
      </c>
      <c r="N37" s="365"/>
      <c r="O37" s="365"/>
      <c r="P37" s="365"/>
      <c r="Q37" s="365"/>
      <c r="R37" s="375"/>
      <c r="S37" s="375"/>
      <c r="T37" s="377"/>
      <c r="AU37" s="353" t="str">
        <f t="shared" si="2"/>
        <v/>
      </c>
      <c r="AV37" s="2" t="str">
        <f t="shared" si="3"/>
        <v/>
      </c>
      <c r="AW37" s="351" t="str">
        <f>IF(OR('Indoor Lighting'!E37="Incandescent",'Indoor Lighting'!E37="Halogen"),VLOOKUP('Indoor Lighting'!E37&amp;", "&amp;'Indoor Lighting'!I37,LightTrans!$A$2:$B$83,2,FALSE), "")</f>
        <v/>
      </c>
      <c r="AX37" s="351" t="str">
        <f>IF('Indoor Lighting'!E37="CFL", VLOOKUP('Indoor Lighting'!E37&amp;", "&amp;'Indoor Lighting'!I37, LightTrans!$A$2:$B$83, 2, FALSE), "")</f>
        <v/>
      </c>
      <c r="AY37" s="351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1" t="str">
        <f>IF('Indoor Lighting'!E37="Metal Halide", VLOOKUP('Indoor Lighting'!E37&amp;", "&amp;'Indoor Lighting'!I37, LightTrans!$A$2:$K$94, 2, FALSE), "")</f>
        <v/>
      </c>
    </row>
    <row r="38" spans="1:52" s="2" customFormat="1" ht="22.95" hidden="1" customHeight="1" x14ac:dyDescent="0.3">
      <c r="A38" s="372">
        <v>37</v>
      </c>
      <c r="B38" s="366"/>
      <c r="C38" s="366"/>
      <c r="D38" s="367"/>
      <c r="E38" s="368"/>
      <c r="F38" s="369"/>
      <c r="G38" s="369"/>
      <c r="H38" s="369"/>
      <c r="I38" s="370"/>
      <c r="J38" s="375"/>
      <c r="K38" s="369"/>
      <c r="L38" s="370"/>
      <c r="M38" s="375" t="str">
        <f>IF(E38="", "", IF('Facility Info'!$H$8="Y", IF(C38="Y", "Natural Gas", "None"), IF(C38="Y", "Heat Pump", "None")))</f>
        <v/>
      </c>
      <c r="N38" s="365"/>
      <c r="O38" s="365"/>
      <c r="P38" s="365"/>
      <c r="Q38" s="365"/>
      <c r="R38" s="370"/>
      <c r="S38" s="370"/>
      <c r="T38" s="377"/>
      <c r="AU38" s="353" t="str">
        <f t="shared" si="2"/>
        <v/>
      </c>
      <c r="AV38" s="2" t="str">
        <f t="shared" si="3"/>
        <v/>
      </c>
      <c r="AW38" s="351" t="str">
        <f>IF(OR('Indoor Lighting'!E38="Incandescent",'Indoor Lighting'!E38="Halogen"),VLOOKUP('Indoor Lighting'!E38&amp;", "&amp;'Indoor Lighting'!I38,LightTrans!$A$2:$B$83,2,FALSE), "")</f>
        <v/>
      </c>
      <c r="AX38" s="351" t="str">
        <f>IF('Indoor Lighting'!E38="CFL", VLOOKUP('Indoor Lighting'!E38&amp;", "&amp;'Indoor Lighting'!I38, LightTrans!$A$2:$B$83, 2, FALSE), "")</f>
        <v/>
      </c>
      <c r="AY38" s="351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1" t="str">
        <f>IF('Indoor Lighting'!E38="Metal Halide", VLOOKUP('Indoor Lighting'!E38&amp;", "&amp;'Indoor Lighting'!I38, LightTrans!$A$2:$K$94, 2, FALSE), "")</f>
        <v/>
      </c>
    </row>
    <row r="39" spans="1:52" s="2" customFormat="1" ht="22.95" hidden="1" customHeight="1" x14ac:dyDescent="0.3">
      <c r="A39" s="372">
        <v>38</v>
      </c>
      <c r="B39" s="373"/>
      <c r="C39" s="373"/>
      <c r="D39" s="374"/>
      <c r="E39" s="368"/>
      <c r="F39" s="376"/>
      <c r="G39" s="376"/>
      <c r="H39" s="376"/>
      <c r="I39" s="375"/>
      <c r="J39" s="375"/>
      <c r="K39" s="369"/>
      <c r="L39" s="375"/>
      <c r="M39" s="375" t="str">
        <f>IF(E39="", "", IF('Facility Info'!$H$8="Y", IF(C39="Y", "Natural Gas", "None"), IF(C39="Y", "Heat Pump", "None")))</f>
        <v/>
      </c>
      <c r="N39" s="365"/>
      <c r="O39" s="365"/>
      <c r="P39" s="365"/>
      <c r="Q39" s="365"/>
      <c r="R39" s="375"/>
      <c r="S39" s="375"/>
      <c r="T39" s="377"/>
      <c r="AU39" s="353" t="str">
        <f t="shared" si="2"/>
        <v/>
      </c>
      <c r="AV39" s="2" t="str">
        <f t="shared" si="3"/>
        <v/>
      </c>
      <c r="AW39" s="351" t="str">
        <f>IF(OR('Indoor Lighting'!E39="Incandescent",'Indoor Lighting'!E39="Halogen"),VLOOKUP('Indoor Lighting'!E39&amp;", "&amp;'Indoor Lighting'!I39,LightTrans!$A$2:$B$83,2,FALSE), "")</f>
        <v/>
      </c>
      <c r="AX39" s="351" t="str">
        <f>IF('Indoor Lighting'!E39="CFL", VLOOKUP('Indoor Lighting'!E39&amp;", "&amp;'Indoor Lighting'!I39, LightTrans!$A$2:$B$83, 2, FALSE), "")</f>
        <v/>
      </c>
      <c r="AY39" s="351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1" t="str">
        <f>IF('Indoor Lighting'!E39="Metal Halide", VLOOKUP('Indoor Lighting'!E39&amp;", "&amp;'Indoor Lighting'!I39, LightTrans!$A$2:$K$94, 2, FALSE), "")</f>
        <v/>
      </c>
    </row>
    <row r="40" spans="1:52" s="2" customFormat="1" ht="22.95" hidden="1" customHeight="1" x14ac:dyDescent="0.3">
      <c r="A40" s="372">
        <v>39</v>
      </c>
      <c r="B40" s="366"/>
      <c r="C40" s="366"/>
      <c r="D40" s="367"/>
      <c r="E40" s="368"/>
      <c r="F40" s="369"/>
      <c r="G40" s="369"/>
      <c r="H40" s="369"/>
      <c r="I40" s="370"/>
      <c r="J40" s="375"/>
      <c r="K40" s="369"/>
      <c r="L40" s="370"/>
      <c r="M40" s="375" t="str">
        <f>IF(E40="", "", IF('Facility Info'!$H$8="Y", IF(C40="Y", "Natural Gas", "None"), IF(C40="Y", "Heat Pump", "None")))</f>
        <v/>
      </c>
      <c r="N40" s="365"/>
      <c r="O40" s="365"/>
      <c r="P40" s="365"/>
      <c r="Q40" s="365"/>
      <c r="R40" s="370"/>
      <c r="S40" s="370"/>
      <c r="T40" s="377"/>
      <c r="AU40" s="353" t="str">
        <f t="shared" si="2"/>
        <v/>
      </c>
      <c r="AV40" s="2" t="str">
        <f t="shared" si="3"/>
        <v/>
      </c>
      <c r="AW40" s="351" t="str">
        <f>IF(OR('Indoor Lighting'!E40="Incandescent",'Indoor Lighting'!E40="Halogen"),VLOOKUP('Indoor Lighting'!E40&amp;", "&amp;'Indoor Lighting'!I40,LightTrans!$A$2:$B$83,2,FALSE), "")</f>
        <v/>
      </c>
      <c r="AX40" s="351" t="str">
        <f>IF('Indoor Lighting'!E40="CFL", VLOOKUP('Indoor Lighting'!E40&amp;", "&amp;'Indoor Lighting'!I40, LightTrans!$A$2:$B$83, 2, FALSE), "")</f>
        <v/>
      </c>
      <c r="AY40" s="351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1" t="str">
        <f>IF('Indoor Lighting'!E40="Metal Halide", VLOOKUP('Indoor Lighting'!E40&amp;", "&amp;'Indoor Lighting'!I40, LightTrans!$A$2:$K$94, 2, FALSE), "")</f>
        <v/>
      </c>
    </row>
    <row r="41" spans="1:52" s="2" customFormat="1" ht="22.95" hidden="1" customHeight="1" x14ac:dyDescent="0.3">
      <c r="A41" s="372">
        <v>40</v>
      </c>
      <c r="B41" s="373"/>
      <c r="C41" s="373"/>
      <c r="D41" s="374"/>
      <c r="E41" s="368"/>
      <c r="F41" s="376"/>
      <c r="G41" s="376"/>
      <c r="H41" s="376"/>
      <c r="I41" s="375"/>
      <c r="J41" s="375"/>
      <c r="K41" s="369"/>
      <c r="L41" s="375"/>
      <c r="M41" s="375" t="str">
        <f>IF(E41="", "", IF('Facility Info'!$H$8="Y", IF(C41="Y", "Natural Gas", "None"), IF(C41="Y", "Heat Pump", "None")))</f>
        <v/>
      </c>
      <c r="N41" s="365"/>
      <c r="O41" s="365"/>
      <c r="P41" s="365"/>
      <c r="Q41" s="365"/>
      <c r="R41" s="375"/>
      <c r="S41" s="375"/>
      <c r="T41" s="377"/>
      <c r="AU41" s="353" t="str">
        <f t="shared" si="2"/>
        <v/>
      </c>
      <c r="AV41" s="2" t="str">
        <f t="shared" si="3"/>
        <v/>
      </c>
      <c r="AW41" s="351" t="str">
        <f>IF(OR('Indoor Lighting'!E41="Incandescent",'Indoor Lighting'!E41="Halogen"),VLOOKUP('Indoor Lighting'!E41&amp;", "&amp;'Indoor Lighting'!I41,LightTrans!$A$2:$B$83,2,FALSE), "")</f>
        <v/>
      </c>
      <c r="AX41" s="351" t="str">
        <f>IF('Indoor Lighting'!E41="CFL", VLOOKUP('Indoor Lighting'!E41&amp;", "&amp;'Indoor Lighting'!I41, LightTrans!$A$2:$B$83, 2, FALSE), "")</f>
        <v/>
      </c>
      <c r="AY41" s="351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1" t="str">
        <f>IF('Indoor Lighting'!E41="Metal Halide", VLOOKUP('Indoor Lighting'!E41&amp;", "&amp;'Indoor Lighting'!I41, LightTrans!$A$2:$K$94, 2, FALSE), "")</f>
        <v/>
      </c>
    </row>
    <row r="42" spans="1:52" s="2" customFormat="1" ht="22.95" hidden="1" customHeight="1" x14ac:dyDescent="0.3">
      <c r="A42" s="372">
        <v>41</v>
      </c>
      <c r="B42" s="366"/>
      <c r="C42" s="366"/>
      <c r="D42" s="367"/>
      <c r="E42" s="368"/>
      <c r="F42" s="369"/>
      <c r="G42" s="369"/>
      <c r="H42" s="369"/>
      <c r="I42" s="370"/>
      <c r="J42" s="375"/>
      <c r="K42" s="369"/>
      <c r="L42" s="370"/>
      <c r="M42" s="375" t="str">
        <f>IF(E42="", "", IF('Facility Info'!$H$8="Y", IF(C42="Y", "Natural Gas", "None"), IF(C42="Y", "Heat Pump", "None")))</f>
        <v/>
      </c>
      <c r="N42" s="365"/>
      <c r="O42" s="365"/>
      <c r="P42" s="365"/>
      <c r="Q42" s="365"/>
      <c r="R42" s="370"/>
      <c r="S42" s="370"/>
      <c r="T42" s="377"/>
      <c r="AU42" s="353" t="str">
        <f t="shared" si="2"/>
        <v/>
      </c>
      <c r="AV42" s="2" t="str">
        <f t="shared" si="3"/>
        <v/>
      </c>
      <c r="AW42" s="351" t="str">
        <f>IF(OR('Indoor Lighting'!E42="Incandescent",'Indoor Lighting'!E42="Halogen"),VLOOKUP('Indoor Lighting'!E42&amp;", "&amp;'Indoor Lighting'!I42,LightTrans!$A$2:$B$83,2,FALSE), "")</f>
        <v/>
      </c>
      <c r="AX42" s="351" t="str">
        <f>IF('Indoor Lighting'!E42="CFL", VLOOKUP('Indoor Lighting'!E42&amp;", "&amp;'Indoor Lighting'!I42, LightTrans!$A$2:$B$83, 2, FALSE), "")</f>
        <v/>
      </c>
      <c r="AY42" s="351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1" t="str">
        <f>IF('Indoor Lighting'!E42="Metal Halide", VLOOKUP('Indoor Lighting'!E42&amp;", "&amp;'Indoor Lighting'!I42, LightTrans!$A$2:$K$94, 2, FALSE), "")</f>
        <v/>
      </c>
    </row>
    <row r="43" spans="1:52" s="2" customFormat="1" ht="22.95" hidden="1" customHeight="1" x14ac:dyDescent="0.3">
      <c r="A43" s="372">
        <v>42</v>
      </c>
      <c r="B43" s="373"/>
      <c r="C43" s="373"/>
      <c r="D43" s="374"/>
      <c r="E43" s="368"/>
      <c r="F43" s="376"/>
      <c r="G43" s="376"/>
      <c r="H43" s="376"/>
      <c r="I43" s="375"/>
      <c r="J43" s="375"/>
      <c r="K43" s="369"/>
      <c r="L43" s="375"/>
      <c r="M43" s="375" t="str">
        <f>IF(E43="", "", IF('Facility Info'!$H$8="Y", IF(C43="Y", "Natural Gas", "None"), IF(C43="Y", "Heat Pump", "None")))</f>
        <v/>
      </c>
      <c r="N43" s="365"/>
      <c r="O43" s="365"/>
      <c r="P43" s="365"/>
      <c r="Q43" s="365"/>
      <c r="R43" s="375"/>
      <c r="S43" s="375"/>
      <c r="T43" s="377"/>
      <c r="AU43" s="353" t="str">
        <f t="shared" si="2"/>
        <v/>
      </c>
      <c r="AV43" s="2" t="str">
        <f t="shared" si="3"/>
        <v/>
      </c>
      <c r="AW43" s="351" t="str">
        <f>IF(OR('Indoor Lighting'!E43="Incandescent",'Indoor Lighting'!E43="Halogen"),VLOOKUP('Indoor Lighting'!E43&amp;", "&amp;'Indoor Lighting'!I43,LightTrans!$A$2:$B$83,2,FALSE), "")</f>
        <v/>
      </c>
      <c r="AX43" s="351" t="str">
        <f>IF('Indoor Lighting'!E43="CFL", VLOOKUP('Indoor Lighting'!E43&amp;", "&amp;'Indoor Lighting'!I43, LightTrans!$A$2:$B$83, 2, FALSE), "")</f>
        <v/>
      </c>
      <c r="AY43" s="351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1" t="str">
        <f>IF('Indoor Lighting'!E43="Metal Halide", VLOOKUP('Indoor Lighting'!E43&amp;", "&amp;'Indoor Lighting'!I43, LightTrans!$A$2:$K$94, 2, FALSE), "")</f>
        <v/>
      </c>
    </row>
    <row r="44" spans="1:52" s="2" customFormat="1" ht="22.95" hidden="1" customHeight="1" x14ac:dyDescent="0.3">
      <c r="A44" s="372">
        <v>43</v>
      </c>
      <c r="B44" s="366"/>
      <c r="C44" s="366"/>
      <c r="D44" s="367"/>
      <c r="E44" s="368"/>
      <c r="F44" s="369"/>
      <c r="G44" s="369"/>
      <c r="H44" s="369"/>
      <c r="I44" s="370"/>
      <c r="J44" s="375"/>
      <c r="K44" s="369"/>
      <c r="L44" s="370"/>
      <c r="M44" s="375" t="str">
        <f>IF(E44="", "", IF('Facility Info'!$H$8="Y", IF(C44="Y", "Natural Gas", "None"), IF(C44="Y", "Heat Pump", "None")))</f>
        <v/>
      </c>
      <c r="N44" s="365"/>
      <c r="O44" s="365"/>
      <c r="P44" s="365"/>
      <c r="Q44" s="365"/>
      <c r="R44" s="370"/>
      <c r="S44" s="370"/>
      <c r="T44" s="377"/>
      <c r="AU44" s="353" t="str">
        <f t="shared" si="2"/>
        <v/>
      </c>
      <c r="AV44" s="2" t="str">
        <f t="shared" si="3"/>
        <v/>
      </c>
      <c r="AW44" s="351" t="str">
        <f>IF(OR('Indoor Lighting'!E44="Incandescent",'Indoor Lighting'!E44="Halogen"),VLOOKUP('Indoor Lighting'!E44&amp;", "&amp;'Indoor Lighting'!I44,LightTrans!$A$2:$B$83,2,FALSE), "")</f>
        <v/>
      </c>
      <c r="AX44" s="351" t="str">
        <f>IF('Indoor Lighting'!E44="CFL", VLOOKUP('Indoor Lighting'!E44&amp;", "&amp;'Indoor Lighting'!I44, LightTrans!$A$2:$B$83, 2, FALSE), "")</f>
        <v/>
      </c>
      <c r="AY44" s="351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1" t="str">
        <f>IF('Indoor Lighting'!E44="Metal Halide", VLOOKUP('Indoor Lighting'!E44&amp;", "&amp;'Indoor Lighting'!I44, LightTrans!$A$2:$K$94, 2, FALSE), "")</f>
        <v/>
      </c>
    </row>
    <row r="45" spans="1:52" s="2" customFormat="1" ht="22.95" hidden="1" customHeight="1" x14ac:dyDescent="0.3">
      <c r="A45" s="372">
        <v>44</v>
      </c>
      <c r="B45" s="373"/>
      <c r="C45" s="373"/>
      <c r="D45" s="374"/>
      <c r="E45" s="368"/>
      <c r="F45" s="376"/>
      <c r="G45" s="376"/>
      <c r="H45" s="376"/>
      <c r="I45" s="375"/>
      <c r="J45" s="375"/>
      <c r="K45" s="369"/>
      <c r="L45" s="375"/>
      <c r="M45" s="375" t="str">
        <f>IF(E45="", "", IF('Facility Info'!$H$8="Y", IF(C45="Y", "Natural Gas", "None"), IF(C45="Y", "Heat Pump", "None")))</f>
        <v/>
      </c>
      <c r="N45" s="365"/>
      <c r="O45" s="365"/>
      <c r="P45" s="365"/>
      <c r="Q45" s="365"/>
      <c r="R45" s="375"/>
      <c r="S45" s="375"/>
      <c r="T45" s="377"/>
      <c r="AU45" s="353" t="str">
        <f t="shared" si="2"/>
        <v/>
      </c>
      <c r="AV45" s="2" t="str">
        <f t="shared" si="3"/>
        <v/>
      </c>
      <c r="AW45" s="351" t="str">
        <f>IF(OR('Indoor Lighting'!E45="Incandescent",'Indoor Lighting'!E45="Halogen"),VLOOKUP('Indoor Lighting'!E45&amp;", "&amp;'Indoor Lighting'!I45,LightTrans!$A$2:$B$83,2,FALSE), "")</f>
        <v/>
      </c>
      <c r="AX45" s="351" t="str">
        <f>IF('Indoor Lighting'!E45="CFL", VLOOKUP('Indoor Lighting'!E45&amp;", "&amp;'Indoor Lighting'!I45, LightTrans!$A$2:$B$83, 2, FALSE), "")</f>
        <v/>
      </c>
      <c r="AY45" s="351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1" t="str">
        <f>IF('Indoor Lighting'!E45="Metal Halide", VLOOKUP('Indoor Lighting'!E45&amp;", "&amp;'Indoor Lighting'!I45, LightTrans!$A$2:$K$94, 2, FALSE), "")</f>
        <v/>
      </c>
    </row>
    <row r="46" spans="1:52" s="2" customFormat="1" ht="22.95" hidden="1" customHeight="1" x14ac:dyDescent="0.3">
      <c r="A46" s="372">
        <v>45</v>
      </c>
      <c r="B46" s="366"/>
      <c r="C46" s="366"/>
      <c r="D46" s="367"/>
      <c r="E46" s="368"/>
      <c r="F46" s="369"/>
      <c r="G46" s="369"/>
      <c r="H46" s="369"/>
      <c r="I46" s="370"/>
      <c r="J46" s="375"/>
      <c r="K46" s="369"/>
      <c r="L46" s="370"/>
      <c r="M46" s="375" t="str">
        <f>IF(E46="", "", IF('Facility Info'!$H$8="Y", IF(C46="Y", "Natural Gas", "None"), IF(C46="Y", "Heat Pump", "None")))</f>
        <v/>
      </c>
      <c r="N46" s="365"/>
      <c r="O46" s="365"/>
      <c r="P46" s="365"/>
      <c r="Q46" s="365"/>
      <c r="R46" s="370"/>
      <c r="S46" s="370"/>
      <c r="T46" s="377"/>
      <c r="AU46" s="353" t="str">
        <f t="shared" si="2"/>
        <v/>
      </c>
      <c r="AV46" s="2" t="str">
        <f t="shared" si="3"/>
        <v/>
      </c>
      <c r="AW46" s="351" t="str">
        <f>IF(OR('Indoor Lighting'!E46="Incandescent",'Indoor Lighting'!E46="Halogen"),VLOOKUP('Indoor Lighting'!E46&amp;", "&amp;'Indoor Lighting'!I46,LightTrans!$A$2:$B$83,2,FALSE), "")</f>
        <v/>
      </c>
      <c r="AX46" s="351" t="str">
        <f>IF('Indoor Lighting'!E46="CFL", VLOOKUP('Indoor Lighting'!E46&amp;", "&amp;'Indoor Lighting'!I46, LightTrans!$A$2:$B$83, 2, FALSE), "")</f>
        <v/>
      </c>
      <c r="AY46" s="351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1" t="str">
        <f>IF('Indoor Lighting'!E46="Metal Halide", VLOOKUP('Indoor Lighting'!E46&amp;", "&amp;'Indoor Lighting'!I46, LightTrans!$A$2:$K$94, 2, FALSE), "")</f>
        <v/>
      </c>
    </row>
    <row r="47" spans="1:52" s="2" customFormat="1" ht="22.95" hidden="1" customHeight="1" x14ac:dyDescent="0.3">
      <c r="A47" s="372">
        <v>46</v>
      </c>
      <c r="B47" s="373"/>
      <c r="C47" s="373"/>
      <c r="D47" s="374"/>
      <c r="E47" s="368"/>
      <c r="F47" s="376"/>
      <c r="G47" s="376"/>
      <c r="H47" s="376"/>
      <c r="I47" s="375"/>
      <c r="J47" s="375"/>
      <c r="K47" s="369"/>
      <c r="L47" s="375"/>
      <c r="M47" s="375" t="str">
        <f>IF(E47="", "", IF('Facility Info'!$H$8="Y", IF(C47="Y", "Natural Gas", "None"), IF(C47="Y", "Heat Pump", "None")))</f>
        <v/>
      </c>
      <c r="N47" s="365"/>
      <c r="O47" s="365"/>
      <c r="P47" s="365"/>
      <c r="Q47" s="365"/>
      <c r="R47" s="375"/>
      <c r="S47" s="375"/>
      <c r="T47" s="377"/>
      <c r="AU47" s="353" t="str">
        <f t="shared" si="2"/>
        <v/>
      </c>
      <c r="AV47" s="2" t="str">
        <f t="shared" si="3"/>
        <v/>
      </c>
      <c r="AW47" s="351" t="str">
        <f>IF(OR('Indoor Lighting'!E47="Incandescent",'Indoor Lighting'!E47="Halogen"),VLOOKUP('Indoor Lighting'!E47&amp;", "&amp;'Indoor Lighting'!I47,LightTrans!$A$2:$B$83,2,FALSE), "")</f>
        <v/>
      </c>
      <c r="AX47" s="351" t="str">
        <f>IF('Indoor Lighting'!E47="CFL", VLOOKUP('Indoor Lighting'!E47&amp;", "&amp;'Indoor Lighting'!I47, LightTrans!$A$2:$B$83, 2, FALSE), "")</f>
        <v/>
      </c>
      <c r="AY47" s="351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1" t="str">
        <f>IF('Indoor Lighting'!E47="Metal Halide", VLOOKUP('Indoor Lighting'!E47&amp;", "&amp;'Indoor Lighting'!I47, LightTrans!$A$2:$K$94, 2, FALSE), "")</f>
        <v/>
      </c>
    </row>
    <row r="48" spans="1:52" s="2" customFormat="1" ht="22.95" hidden="1" customHeight="1" x14ac:dyDescent="0.3">
      <c r="A48" s="372">
        <v>47</v>
      </c>
      <c r="B48" s="366"/>
      <c r="C48" s="366"/>
      <c r="D48" s="367"/>
      <c r="E48" s="368"/>
      <c r="F48" s="369"/>
      <c r="G48" s="369"/>
      <c r="H48" s="369"/>
      <c r="I48" s="370"/>
      <c r="J48" s="375"/>
      <c r="K48" s="369"/>
      <c r="L48" s="370"/>
      <c r="M48" s="375" t="str">
        <f>IF(E48="", "", IF('Facility Info'!$H$8="Y", IF(C48="Y", "Natural Gas", "None"), IF(C48="Y", "Heat Pump", "None")))</f>
        <v/>
      </c>
      <c r="N48" s="365"/>
      <c r="O48" s="365"/>
      <c r="P48" s="365"/>
      <c r="Q48" s="365"/>
      <c r="R48" s="370"/>
      <c r="S48" s="370"/>
      <c r="T48" s="377"/>
      <c r="AU48" s="353" t="str">
        <f t="shared" si="2"/>
        <v/>
      </c>
      <c r="AV48" s="2" t="str">
        <f t="shared" si="3"/>
        <v/>
      </c>
      <c r="AW48" s="351" t="str">
        <f>IF(OR('Indoor Lighting'!E48="Incandescent",'Indoor Lighting'!E48="Halogen"),VLOOKUP('Indoor Lighting'!E48&amp;", "&amp;'Indoor Lighting'!I48,LightTrans!$A$2:$B$83,2,FALSE), "")</f>
        <v/>
      </c>
      <c r="AX48" s="351" t="str">
        <f>IF('Indoor Lighting'!E48="CFL", VLOOKUP('Indoor Lighting'!E48&amp;", "&amp;'Indoor Lighting'!I48, LightTrans!$A$2:$B$83, 2, FALSE), "")</f>
        <v/>
      </c>
      <c r="AY48" s="351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1" t="str">
        <f>IF('Indoor Lighting'!E48="Metal Halide", VLOOKUP('Indoor Lighting'!E48&amp;", "&amp;'Indoor Lighting'!I48, LightTrans!$A$2:$K$94, 2, FALSE), "")</f>
        <v/>
      </c>
    </row>
    <row r="49" spans="1:52" s="2" customFormat="1" ht="22.95" hidden="1" customHeight="1" x14ac:dyDescent="0.3">
      <c r="A49" s="372">
        <v>48</v>
      </c>
      <c r="B49" s="373"/>
      <c r="C49" s="373"/>
      <c r="D49" s="374"/>
      <c r="E49" s="368"/>
      <c r="F49" s="376"/>
      <c r="G49" s="376"/>
      <c r="H49" s="376"/>
      <c r="I49" s="375"/>
      <c r="J49" s="375"/>
      <c r="K49" s="369"/>
      <c r="L49" s="375"/>
      <c r="M49" s="375" t="str">
        <f>IF(E49="", "", IF('Facility Info'!$H$8="Y", IF(C49="Y", "Natural Gas", "None"), IF(C49="Y", "Heat Pump", "None")))</f>
        <v/>
      </c>
      <c r="N49" s="365"/>
      <c r="O49" s="365"/>
      <c r="P49" s="365"/>
      <c r="Q49" s="365"/>
      <c r="R49" s="375"/>
      <c r="S49" s="375"/>
      <c r="T49" s="377"/>
      <c r="AU49" s="353" t="str">
        <f t="shared" si="2"/>
        <v/>
      </c>
      <c r="AV49" s="2" t="str">
        <f t="shared" si="3"/>
        <v/>
      </c>
      <c r="AW49" s="351" t="str">
        <f>IF(OR('Indoor Lighting'!E49="Incandescent",'Indoor Lighting'!E49="Halogen"),VLOOKUP('Indoor Lighting'!E49&amp;", "&amp;'Indoor Lighting'!I49,LightTrans!$A$2:$B$83,2,FALSE), "")</f>
        <v/>
      </c>
      <c r="AX49" s="351" t="str">
        <f>IF('Indoor Lighting'!E49="CFL", VLOOKUP('Indoor Lighting'!E49&amp;", "&amp;'Indoor Lighting'!I49, LightTrans!$A$2:$B$83, 2, FALSE), "")</f>
        <v/>
      </c>
      <c r="AY49" s="351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1" t="str">
        <f>IF('Indoor Lighting'!E49="Metal Halide", VLOOKUP('Indoor Lighting'!E49&amp;", "&amp;'Indoor Lighting'!I49, LightTrans!$A$2:$K$94, 2, FALSE), "")</f>
        <v/>
      </c>
    </row>
    <row r="50" spans="1:52" s="2" customFormat="1" ht="22.95" hidden="1" customHeight="1" x14ac:dyDescent="0.3">
      <c r="A50" s="372">
        <v>49</v>
      </c>
      <c r="B50" s="366"/>
      <c r="C50" s="366"/>
      <c r="D50" s="367"/>
      <c r="E50" s="368"/>
      <c r="F50" s="369"/>
      <c r="G50" s="369"/>
      <c r="H50" s="369"/>
      <c r="I50" s="370"/>
      <c r="J50" s="375"/>
      <c r="K50" s="369"/>
      <c r="L50" s="370"/>
      <c r="M50" s="375" t="str">
        <f>IF(E50="", "", IF('Facility Info'!$H$8="Y", IF(C50="Y", "Natural Gas", "None"), IF(C50="Y", "Heat Pump", "None")))</f>
        <v/>
      </c>
      <c r="N50" s="365"/>
      <c r="O50" s="365"/>
      <c r="P50" s="365"/>
      <c r="Q50" s="365"/>
      <c r="R50" s="370"/>
      <c r="S50" s="370"/>
      <c r="T50" s="377"/>
      <c r="AU50" s="353" t="str">
        <f t="shared" si="2"/>
        <v/>
      </c>
      <c r="AV50" s="2" t="str">
        <f t="shared" si="3"/>
        <v/>
      </c>
      <c r="AW50" s="351" t="str">
        <f>IF(OR('Indoor Lighting'!E50="Incandescent",'Indoor Lighting'!E50="Halogen"),VLOOKUP('Indoor Lighting'!E50&amp;", "&amp;'Indoor Lighting'!I50,LightTrans!$A$2:$B$83,2,FALSE), "")</f>
        <v/>
      </c>
      <c r="AX50" s="351" t="str">
        <f>IF('Indoor Lighting'!E50="CFL", VLOOKUP('Indoor Lighting'!E50&amp;", "&amp;'Indoor Lighting'!I50, LightTrans!$A$2:$B$83, 2, FALSE), "")</f>
        <v/>
      </c>
      <c r="AY50" s="351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1" t="str">
        <f>IF('Indoor Lighting'!E50="Metal Halide", VLOOKUP('Indoor Lighting'!E50&amp;", "&amp;'Indoor Lighting'!I50, LightTrans!$A$2:$K$94, 2, FALSE), "")</f>
        <v/>
      </c>
    </row>
    <row r="51" spans="1:52" s="2" customFormat="1" ht="22.95" hidden="1" customHeight="1" x14ac:dyDescent="0.3">
      <c r="A51" s="372">
        <v>50</v>
      </c>
      <c r="B51" s="373"/>
      <c r="C51" s="373"/>
      <c r="D51" s="374"/>
      <c r="E51" s="368"/>
      <c r="F51" s="376"/>
      <c r="G51" s="376"/>
      <c r="H51" s="376"/>
      <c r="I51" s="375"/>
      <c r="J51" s="375"/>
      <c r="K51" s="369"/>
      <c r="L51" s="375"/>
      <c r="M51" s="375" t="str">
        <f>IF(E51="", "", IF('Facility Info'!$H$8="Y", IF(C51="Y", "Natural Gas", "None"), IF(C51="Y", "Heat Pump", "None")))</f>
        <v/>
      </c>
      <c r="N51" s="365"/>
      <c r="O51" s="365"/>
      <c r="P51" s="365"/>
      <c r="Q51" s="365"/>
      <c r="R51" s="375"/>
      <c r="S51" s="375"/>
      <c r="T51" s="377"/>
      <c r="AU51" s="353" t="str">
        <f t="shared" si="2"/>
        <v/>
      </c>
      <c r="AV51" s="2" t="str">
        <f t="shared" si="3"/>
        <v/>
      </c>
      <c r="AW51" s="351" t="str">
        <f>IF(OR('Indoor Lighting'!E51="Incandescent",'Indoor Lighting'!E51="Halogen"),VLOOKUP('Indoor Lighting'!E51&amp;", "&amp;'Indoor Lighting'!I51,LightTrans!$A$2:$B$83,2,FALSE), "")</f>
        <v/>
      </c>
      <c r="AX51" s="351" t="str">
        <f>IF('Indoor Lighting'!E51="CFL", VLOOKUP('Indoor Lighting'!E51&amp;", "&amp;'Indoor Lighting'!I51, LightTrans!$A$2:$B$83, 2, FALSE), "")</f>
        <v/>
      </c>
      <c r="AY51" s="351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1" t="str">
        <f>IF('Indoor Lighting'!E51="Metal Halide", VLOOKUP('Indoor Lighting'!E51&amp;", "&amp;'Indoor Lighting'!I51, LightTrans!$A$2:$K$94, 2, FALSE), "")</f>
        <v/>
      </c>
    </row>
    <row r="52" spans="1:52" s="2" customFormat="1" ht="22.95" hidden="1" customHeight="1" x14ac:dyDescent="0.3">
      <c r="A52" s="372">
        <v>51</v>
      </c>
      <c r="B52" s="366"/>
      <c r="C52" s="366"/>
      <c r="D52" s="367"/>
      <c r="E52" s="368"/>
      <c r="F52" s="369"/>
      <c r="G52" s="369"/>
      <c r="H52" s="369"/>
      <c r="I52" s="370"/>
      <c r="J52" s="375"/>
      <c r="K52" s="369"/>
      <c r="L52" s="370"/>
      <c r="M52" s="375" t="str">
        <f>IF(E52="", "", IF('Facility Info'!$H$8="Y", IF(C52="Y", "Natural Gas", "None"), IF(C52="Y", "Heat Pump", "None")))</f>
        <v/>
      </c>
      <c r="N52" s="365"/>
      <c r="O52" s="365"/>
      <c r="P52" s="365"/>
      <c r="Q52" s="365"/>
      <c r="R52" s="370"/>
      <c r="S52" s="370"/>
      <c r="T52" s="377"/>
      <c r="AU52" s="353" t="str">
        <f t="shared" si="2"/>
        <v/>
      </c>
      <c r="AV52" s="2" t="str">
        <f t="shared" si="3"/>
        <v/>
      </c>
      <c r="AW52" s="351" t="str">
        <f>IF(OR('Indoor Lighting'!E52="Incandescent",'Indoor Lighting'!E52="Halogen"),VLOOKUP('Indoor Lighting'!E52&amp;", "&amp;'Indoor Lighting'!I52,LightTrans!$A$2:$B$83,2,FALSE), "")</f>
        <v/>
      </c>
      <c r="AX52" s="351" t="str">
        <f>IF('Indoor Lighting'!E52="CFL", VLOOKUP('Indoor Lighting'!E52&amp;", "&amp;'Indoor Lighting'!I52, LightTrans!$A$2:$B$83, 2, FALSE), "")</f>
        <v/>
      </c>
      <c r="AY52" s="351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1" t="str">
        <f>IF('Indoor Lighting'!E52="Metal Halide", VLOOKUP('Indoor Lighting'!E52&amp;", "&amp;'Indoor Lighting'!I52, LightTrans!$A$2:$K$94, 2, FALSE), "")</f>
        <v/>
      </c>
    </row>
    <row r="53" spans="1:52" s="2" customFormat="1" ht="22.95" hidden="1" customHeight="1" thickBot="1" x14ac:dyDescent="0.35">
      <c r="A53" s="396">
        <v>52</v>
      </c>
      <c r="B53" s="397"/>
      <c r="C53" s="397"/>
      <c r="D53" s="398"/>
      <c r="E53" s="368"/>
      <c r="F53" s="400"/>
      <c r="G53" s="400"/>
      <c r="H53" s="400"/>
      <c r="I53" s="399"/>
      <c r="J53" s="399"/>
      <c r="K53" s="401"/>
      <c r="L53" s="399"/>
      <c r="M53" s="399" t="str">
        <f>IF(E53="", "", IF('Facility Info'!$H$8="Y", IF(C53="Y", "Natural Gas", "None"), IF(C53="Y", "Heat Pump", "None")))</f>
        <v/>
      </c>
      <c r="N53" s="402"/>
      <c r="O53" s="402"/>
      <c r="P53" s="402"/>
      <c r="Q53" s="402"/>
      <c r="R53" s="399"/>
      <c r="S53" s="399"/>
      <c r="T53" s="403"/>
      <c r="AU53" s="353" t="str">
        <f t="shared" si="2"/>
        <v/>
      </c>
      <c r="AV53" s="2" t="str">
        <f t="shared" si="3"/>
        <v/>
      </c>
      <c r="AW53" s="351" t="str">
        <f>IF(OR('Indoor Lighting'!E53="Incandescent",'Indoor Lighting'!E53="Halogen"),VLOOKUP('Indoor Lighting'!E53&amp;", "&amp;'Indoor Lighting'!I53,LightTrans!$A$2:$B$83,2,FALSE), "")</f>
        <v/>
      </c>
      <c r="AX53" s="351" t="str">
        <f>IF('Indoor Lighting'!E53="CFL", VLOOKUP('Indoor Lighting'!E53&amp;", "&amp;'Indoor Lighting'!I53, LightTrans!$A$2:$B$83, 2, FALSE), "")</f>
        <v/>
      </c>
      <c r="AY53" s="351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1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16" t="s">
        <v>5</v>
      </c>
      <c r="B54" s="381" t="s">
        <v>723</v>
      </c>
      <c r="C54" s="380"/>
      <c r="D54" s="381"/>
      <c r="E54" s="368"/>
      <c r="F54" s="383"/>
      <c r="G54" s="383"/>
      <c r="H54" s="383"/>
      <c r="I54" s="382"/>
      <c r="J54" s="382"/>
      <c r="K54" s="383"/>
      <c r="L54" s="382"/>
      <c r="M54" s="382" t="str">
        <f>IF(E54="", "", IF('Facility Info'!$H$8="Y", IF(C54="Y", "Natural Gas", "None"), IF(C54="Y", "Heat Pump", "None")))</f>
        <v/>
      </c>
      <c r="N54" s="383"/>
      <c r="O54" s="383"/>
      <c r="P54" s="383"/>
      <c r="Q54" s="383"/>
      <c r="R54" s="382"/>
      <c r="S54" s="382"/>
      <c r="T54" s="404"/>
      <c r="AC54" s="2" t="s">
        <v>657</v>
      </c>
      <c r="AU54" s="353" t="str">
        <f t="shared" si="2"/>
        <v/>
      </c>
      <c r="AV54" s="2" t="str">
        <f t="shared" si="3"/>
        <v/>
      </c>
      <c r="AW54" s="351" t="str">
        <f>IF(OR('Indoor Lighting'!E54="Incandescent",'Indoor Lighting'!E54="Halogen"),VLOOKUP('Indoor Lighting'!E54&amp;", "&amp;'Indoor Lighting'!I54,LightTrans!$A$2:$B$83,2,FALSE), "")</f>
        <v/>
      </c>
      <c r="AX54" s="351" t="str">
        <f>IF('Indoor Lighting'!E54="CFL", VLOOKUP('Indoor Lighting'!E54&amp;", "&amp;'Indoor Lighting'!I54, LightTrans!$A$2:$B$83, 2, FALSE), "")</f>
        <v/>
      </c>
      <c r="AY54" s="351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1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17"/>
      <c r="B55" s="384" t="s">
        <v>724</v>
      </c>
      <c r="C55" s="378"/>
      <c r="D55" s="384"/>
      <c r="E55" s="368"/>
      <c r="F55" s="385"/>
      <c r="G55" s="385"/>
      <c r="H55" s="385"/>
      <c r="I55" s="379"/>
      <c r="J55" s="379"/>
      <c r="K55" s="385"/>
      <c r="L55" s="379"/>
      <c r="M55" s="379" t="str">
        <f>IF(E55="", "", IF('Facility Info'!H8="Y", IF(C55="Y", "Natural Gas", "None"), IF(C55="Y", "Heat Pump", "None")))</f>
        <v/>
      </c>
      <c r="N55" s="385"/>
      <c r="O55" s="385"/>
      <c r="P55" s="385"/>
      <c r="Q55" s="385"/>
      <c r="R55" s="390"/>
      <c r="S55" s="392"/>
      <c r="T55" s="387"/>
      <c r="AC55" s="2" t="s">
        <v>658</v>
      </c>
      <c r="AU55" s="353" t="str">
        <f t="shared" si="2"/>
        <v/>
      </c>
      <c r="AV55" s="2" t="str">
        <f t="shared" si="3"/>
        <v/>
      </c>
      <c r="AW55" s="351" t="str">
        <f>IF(OR('Indoor Lighting'!E55="Incandescent",'Indoor Lighting'!E55="Halogen"),VLOOKUP('Indoor Lighting'!E55&amp;", "&amp;'Indoor Lighting'!I55,LightTrans!$A$2:$B$83,2,FALSE), "")</f>
        <v/>
      </c>
      <c r="AX55" s="351" t="str">
        <f>IF('Indoor Lighting'!E55="CFL", VLOOKUP('Indoor Lighting'!E55&amp;", "&amp;'Indoor Lighting'!I55, LightTrans!$A$2:$B$83, 2, FALSE), "")</f>
        <v/>
      </c>
      <c r="AY55" s="351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1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86" t="s">
        <v>4</v>
      </c>
      <c r="B56" s="388"/>
      <c r="C56" s="388"/>
      <c r="D56" s="389"/>
      <c r="E56" s="368"/>
      <c r="F56" s="389"/>
      <c r="G56" s="389"/>
      <c r="H56" s="389"/>
      <c r="I56" s="388"/>
      <c r="J56" s="388"/>
      <c r="K56" s="389"/>
      <c r="L56" s="390"/>
      <c r="M56" s="370" t="str">
        <f>IF(E56="", "", IF('Facility Info'!H8="Y", IF(C56="Y", "Natural Gas", "None"), IF(C56="Y", "Heat Pump", "None")))</f>
        <v/>
      </c>
      <c r="N56" s="391"/>
      <c r="O56" s="391"/>
      <c r="P56" s="391"/>
      <c r="Q56" s="391"/>
      <c r="R56" s="390"/>
      <c r="S56" s="390"/>
      <c r="T56" s="371"/>
      <c r="AU56" s="353" t="str">
        <f>IF(AND(OR(E56="Incandescent",E56="CFL"),L56&gt;0),"Good",IF(ISBLANK(E56),"","Not Quite"))</f>
        <v/>
      </c>
      <c r="AV56" s="2" t="str">
        <f>IF(E56="Incandescent", "EXIT Incandescent, (1) 20W lamp", IF(E56="CFL", "EXIT Compact Fluorescent, (1) 6W lamp", ""))</f>
        <v/>
      </c>
      <c r="AW56" s="351" t="str">
        <f>IF(OR('Indoor Lighting'!E56="Incandescent",'Indoor Lighting'!E56="Halogen"),VLOOKUP('Indoor Lighting'!E56&amp;", "&amp;'Indoor Lighting'!I56,LightTrans!$A$2:$B$83,2,FALSE), "")</f>
        <v/>
      </c>
      <c r="AX56" s="351" t="str">
        <f>IF('Indoor Lighting'!E56="CFL", VLOOKUP('Indoor Lighting'!E56&amp;", "&amp;'Indoor Lighting'!I56, LightTrans!$A$2:$B$83, 2, FALSE), "")</f>
        <v/>
      </c>
      <c r="AY56" s="351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1" t="str">
        <f>IF('Indoor Lighting'!E56="Metal Halide", VLOOKUP('Indoor Lighting'!E56&amp;", "&amp;'Indoor Lighting'!I56, LightTrans!$A$2:$K$94, 2, FALSE), "")</f>
        <v/>
      </c>
    </row>
    <row r="57" spans="1:52" ht="16.2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2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2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2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2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2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2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2" hidden="1" customHeight="1" x14ac:dyDescent="0.3">
      <c r="E64" s="2" t="s">
        <v>653</v>
      </c>
      <c r="S64" s="2" t="s">
        <v>600</v>
      </c>
    </row>
    <row r="65" spans="5:5" ht="16.2" hidden="1" customHeight="1" x14ac:dyDescent="0.3">
      <c r="E65" s="2" t="s">
        <v>654</v>
      </c>
    </row>
    <row r="66" spans="5:5" ht="16.2" hidden="1" customHeight="1" x14ac:dyDescent="0.3">
      <c r="E66" s="2" t="s">
        <v>655</v>
      </c>
    </row>
    <row r="67" spans="5:5" ht="16.2" hidden="1" customHeight="1" x14ac:dyDescent="0.3">
      <c r="E67" s="2" t="s">
        <v>656</v>
      </c>
    </row>
    <row r="68" spans="5:5" ht="16.2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  <dataValidation type="list" allowBlank="1" showInputMessage="1" showErrorMessage="1" sqref="E2:E56">
      <formula1>$AC$2:$AC$13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zoomScaleNormal="100" workbookViewId="0"/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84.77734375" style="67" bestFit="1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4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4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4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4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4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4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4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4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4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4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4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4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2" t="s">
        <v>708</v>
      </c>
      <c r="H16" s="332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3" t="s">
        <v>747</v>
      </c>
      <c r="H17" s="333" t="s">
        <v>749</v>
      </c>
      <c r="I17" s="35" t="s">
        <v>433</v>
      </c>
      <c r="J17" s="35" t="s">
        <v>748</v>
      </c>
      <c r="K17" s="284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3" t="s">
        <v>747</v>
      </c>
      <c r="H18" s="333" t="s">
        <v>749</v>
      </c>
      <c r="I18" s="35" t="s">
        <v>433</v>
      </c>
      <c r="J18" s="35" t="s">
        <v>748</v>
      </c>
      <c r="K18" s="284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4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4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4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4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95" t="s">
        <v>747</v>
      </c>
      <c r="H23" s="394" t="s">
        <v>749</v>
      </c>
      <c r="I23" s="253" t="s">
        <v>433</v>
      </c>
      <c r="J23" s="253" t="s">
        <v>748</v>
      </c>
      <c r="K23" s="284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4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5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5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5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5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5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5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4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4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4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4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4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4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5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5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5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5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5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5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5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5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5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5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5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5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5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5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5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5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5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5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5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5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5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5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5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5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5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5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5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5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5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5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5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5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4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4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4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4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4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4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4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4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4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4" t="s">
        <v>587</v>
      </c>
    </row>
  </sheetData>
  <dataValidations count="1">
    <dataValidation type="list" allowBlank="1" showInputMessage="1" showErrorMessage="1" sqref="H23">
      <formula1>$C$14:$C$15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4" t="s">
        <v>725</v>
      </c>
    </row>
    <row r="2" spans="1:15" s="9" customFormat="1" ht="79.5" customHeight="1" x14ac:dyDescent="0.3">
      <c r="A2" s="123"/>
      <c r="B2" s="312"/>
      <c r="C2" s="314"/>
      <c r="D2" s="314"/>
      <c r="E2" s="314"/>
      <c r="F2" s="121"/>
      <c r="G2" s="314"/>
      <c r="H2" s="121"/>
      <c r="I2" s="121"/>
      <c r="J2" s="121"/>
      <c r="K2" s="316"/>
      <c r="L2" s="256"/>
      <c r="M2" s="124"/>
      <c r="N2" s="355" t="str">
        <f>IF(AND(ISNUMBER(E2),ISNUMBER(G2)),"Good",IF(AND(E2="",G2=""),"","Not Quite"))</f>
        <v/>
      </c>
      <c r="O2" s="349"/>
    </row>
    <row r="3" spans="1:15" s="9" customFormat="1" ht="79.5" customHeight="1" x14ac:dyDescent="0.3">
      <c r="A3" s="8"/>
      <c r="B3" s="312"/>
      <c r="C3" s="314"/>
      <c r="D3" s="314"/>
      <c r="E3" s="315"/>
      <c r="F3" s="10"/>
      <c r="G3" s="315"/>
      <c r="H3" s="10"/>
      <c r="I3" s="10"/>
      <c r="J3" s="10"/>
      <c r="K3" s="317"/>
      <c r="L3" s="257"/>
      <c r="M3" s="125"/>
      <c r="N3" s="353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3"/>
      <c r="C4" s="315"/>
      <c r="D4" s="315"/>
      <c r="E4" s="315"/>
      <c r="F4" s="10"/>
      <c r="G4" s="315"/>
      <c r="H4" s="10"/>
      <c r="I4" s="10"/>
      <c r="J4" s="10"/>
      <c r="K4" s="317"/>
      <c r="L4" s="257"/>
      <c r="M4" s="125"/>
      <c r="N4" s="353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4" t="s">
        <v>725</v>
      </c>
      <c r="J1" s="16"/>
    </row>
    <row r="2" spans="1:10" s="15" customFormat="1" ht="48" customHeight="1" x14ac:dyDescent="0.3">
      <c r="A2" s="129" t="s">
        <v>229</v>
      </c>
      <c r="B2" s="318"/>
      <c r="C2" s="318"/>
      <c r="D2" s="318"/>
      <c r="E2" s="126"/>
      <c r="F2" s="127"/>
      <c r="G2" s="322"/>
      <c r="H2" s="130"/>
      <c r="I2" s="355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19"/>
      <c r="C3" s="319"/>
      <c r="D3" s="319"/>
      <c r="E3" s="101"/>
      <c r="F3" s="102"/>
      <c r="G3" s="323"/>
      <c r="H3" s="131"/>
      <c r="I3" s="355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3"/>
      <c r="E6" s="343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4"/>
      <c r="E15" s="344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3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5" t="s">
        <v>190</v>
      </c>
      <c r="B1" s="340" t="s">
        <v>191</v>
      </c>
      <c r="C1" s="341" t="s">
        <v>709</v>
      </c>
      <c r="D1" s="53"/>
      <c r="E1" s="25" t="s">
        <v>186</v>
      </c>
      <c r="F1" s="60" t="s">
        <v>191</v>
      </c>
      <c r="I1" s="337"/>
      <c r="J1" s="339"/>
      <c r="K1" s="76"/>
      <c r="L1" s="79"/>
    </row>
    <row r="2" spans="1:29" s="4" customFormat="1" ht="25.5" customHeight="1" x14ac:dyDescent="0.3">
      <c r="A2" s="337" t="s">
        <v>130</v>
      </c>
      <c r="B2" s="339"/>
      <c r="C2" s="342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7"/>
    </row>
    <row r="3" spans="1:29" s="4" customFormat="1" ht="25.5" customHeight="1" x14ac:dyDescent="0.3">
      <c r="A3" s="45" t="s">
        <v>133</v>
      </c>
      <c r="B3" s="334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4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4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4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5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4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4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4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4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38" t="s">
        <v>140</v>
      </c>
      <c r="B12" s="336"/>
      <c r="C12" s="250"/>
      <c r="D12" s="49"/>
      <c r="E12" s="76" t="s">
        <v>165</v>
      </c>
      <c r="F12" s="80"/>
      <c r="AC12" s="338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6"/>
      <c r="G1" s="16"/>
    </row>
    <row r="2" spans="1:7" s="15" customFormat="1" ht="28.5" customHeight="1" x14ac:dyDescent="0.3">
      <c r="A2" s="141" t="s">
        <v>232</v>
      </c>
      <c r="B2" s="320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1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18"/>
      <c r="B1" s="419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37" t="s">
        <v>32</v>
      </c>
      <c r="B1" s="438"/>
      <c r="C1" s="17"/>
      <c r="D1" s="152"/>
      <c r="E1" s="147"/>
      <c r="I1" s="146" t="s">
        <v>17</v>
      </c>
      <c r="J1" s="432" t="s">
        <v>17</v>
      </c>
      <c r="K1" s="433"/>
      <c r="L1" s="433"/>
      <c r="M1" s="433"/>
      <c r="N1" s="433"/>
      <c r="O1" s="433"/>
      <c r="P1" s="433"/>
      <c r="Q1" s="433"/>
      <c r="R1" s="433"/>
      <c r="S1" s="433"/>
      <c r="T1" s="433"/>
      <c r="U1" s="433"/>
      <c r="V1" s="433"/>
      <c r="W1" s="433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32" t="s">
        <v>18</v>
      </c>
      <c r="K2" s="433"/>
      <c r="L2" s="433"/>
      <c r="M2" s="433"/>
      <c r="N2" s="433"/>
      <c r="O2" s="433"/>
      <c r="P2" s="433"/>
      <c r="Q2" s="433"/>
      <c r="R2" s="433"/>
      <c r="S2" s="433"/>
      <c r="T2" s="433"/>
      <c r="U2" s="433"/>
      <c r="V2" s="433"/>
      <c r="W2" s="433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31" t="s">
        <v>612</v>
      </c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34" t="s">
        <v>19</v>
      </c>
      <c r="K4" s="424"/>
      <c r="L4" s="424"/>
      <c r="M4" s="424"/>
      <c r="N4" s="424"/>
      <c r="O4" s="424"/>
      <c r="P4" s="424"/>
      <c r="Q4" s="424"/>
      <c r="R4" s="424"/>
      <c r="S4" s="424"/>
      <c r="T4" s="424"/>
      <c r="U4" s="424"/>
      <c r="V4" s="424"/>
      <c r="W4" s="425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34" t="s">
        <v>20</v>
      </c>
      <c r="K5" s="424"/>
      <c r="L5" s="424"/>
      <c r="M5" s="424"/>
      <c r="N5" s="424"/>
      <c r="O5" s="424"/>
      <c r="P5" s="424"/>
      <c r="Q5" s="424"/>
      <c r="R5" s="424"/>
      <c r="S5" s="424"/>
      <c r="T5" s="424"/>
      <c r="U5" s="424"/>
      <c r="V5" s="424"/>
      <c r="W5" s="425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29" t="s">
        <v>613</v>
      </c>
      <c r="K6" s="430"/>
      <c r="L6" s="430"/>
      <c r="M6" s="430"/>
      <c r="N6" s="430"/>
      <c r="O6" s="430"/>
      <c r="P6" s="430"/>
      <c r="Q6" s="430"/>
      <c r="R6" s="430"/>
      <c r="S6" s="430"/>
      <c r="T6" s="430"/>
      <c r="U6" s="430"/>
      <c r="V6" s="430"/>
      <c r="W6" s="430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31" t="s">
        <v>614</v>
      </c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23" t="s">
        <v>615</v>
      </c>
      <c r="K8" s="424"/>
      <c r="L8" s="424"/>
      <c r="M8" s="424"/>
      <c r="N8" s="424"/>
      <c r="O8" s="424"/>
      <c r="P8" s="424"/>
      <c r="Q8" s="424"/>
      <c r="R8" s="424"/>
      <c r="S8" s="424"/>
      <c r="T8" s="424"/>
      <c r="U8" s="424"/>
      <c r="V8" s="424"/>
      <c r="W8" s="425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23" t="s">
        <v>616</v>
      </c>
      <c r="K9" s="424"/>
      <c r="L9" s="424"/>
      <c r="M9" s="424"/>
      <c r="N9" s="424"/>
      <c r="O9" s="424"/>
      <c r="P9" s="424"/>
      <c r="Q9" s="424"/>
      <c r="R9" s="424"/>
      <c r="S9" s="424"/>
      <c r="T9" s="424"/>
      <c r="U9" s="424"/>
      <c r="V9" s="424"/>
      <c r="W9" s="425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20" t="s">
        <v>617</v>
      </c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2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20" t="s">
        <v>618</v>
      </c>
      <c r="K11" s="421"/>
      <c r="L11" s="421"/>
      <c r="M11" s="421"/>
      <c r="N11" s="421"/>
      <c r="O11" s="421"/>
      <c r="P11" s="421"/>
      <c r="Q11" s="421"/>
      <c r="R11" s="421"/>
      <c r="S11" s="421"/>
      <c r="T11" s="421"/>
      <c r="U11" s="421"/>
      <c r="V11" s="421"/>
      <c r="W11" s="422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20" t="s">
        <v>619</v>
      </c>
      <c r="K12" s="421"/>
      <c r="L12" s="421"/>
      <c r="M12" s="421"/>
      <c r="N12" s="421"/>
      <c r="O12" s="421"/>
      <c r="P12" s="421"/>
      <c r="Q12" s="421"/>
      <c r="R12" s="421"/>
      <c r="S12" s="421"/>
      <c r="T12" s="421"/>
      <c r="U12" s="421"/>
      <c r="V12" s="421"/>
      <c r="W12" s="422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23" t="s">
        <v>620</v>
      </c>
      <c r="K13" s="424"/>
      <c r="L13" s="424"/>
      <c r="M13" s="424"/>
      <c r="N13" s="424"/>
      <c r="O13" s="424"/>
      <c r="P13" s="424"/>
      <c r="Q13" s="424"/>
      <c r="R13" s="424"/>
      <c r="S13" s="424"/>
      <c r="T13" s="424"/>
      <c r="U13" s="424"/>
      <c r="V13" s="424"/>
      <c r="W13" s="425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20" t="s">
        <v>621</v>
      </c>
      <c r="K14" s="421"/>
      <c r="L14" s="421"/>
      <c r="M14" s="421"/>
      <c r="N14" s="421"/>
      <c r="O14" s="421"/>
      <c r="P14" s="421"/>
      <c r="Q14" s="421"/>
      <c r="R14" s="421"/>
      <c r="S14" s="421"/>
      <c r="T14" s="421"/>
      <c r="U14" s="421"/>
      <c r="V14" s="421"/>
      <c r="W14" s="422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26" t="s">
        <v>622</v>
      </c>
      <c r="K15" s="427"/>
      <c r="L15" s="427"/>
      <c r="M15" s="427"/>
      <c r="N15" s="427"/>
      <c r="O15" s="427"/>
      <c r="P15" s="427"/>
      <c r="Q15" s="427"/>
      <c r="R15" s="427"/>
      <c r="S15" s="427"/>
      <c r="T15" s="427"/>
      <c r="U15" s="427"/>
      <c r="V15" s="427"/>
      <c r="W15" s="428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23" t="s">
        <v>623</v>
      </c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5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23" t="s">
        <v>624</v>
      </c>
      <c r="K17" s="424"/>
      <c r="L17" s="424"/>
      <c r="M17" s="424"/>
      <c r="N17" s="424"/>
      <c r="O17" s="424"/>
      <c r="P17" s="424"/>
      <c r="Q17" s="424"/>
      <c r="R17" s="424"/>
      <c r="S17" s="424"/>
      <c r="T17" s="424"/>
      <c r="U17" s="424"/>
      <c r="V17" s="424"/>
      <c r="W17" s="425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26" t="s">
        <v>625</v>
      </c>
      <c r="K18" s="427"/>
      <c r="L18" s="427"/>
      <c r="M18" s="427"/>
      <c r="N18" s="427"/>
      <c r="O18" s="427"/>
      <c r="P18" s="427"/>
      <c r="Q18" s="427"/>
      <c r="R18" s="427"/>
      <c r="S18" s="427"/>
      <c r="T18" s="427"/>
      <c r="U18" s="427"/>
      <c r="V18" s="427"/>
      <c r="W18" s="428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23" t="s">
        <v>626</v>
      </c>
      <c r="K19" s="424"/>
      <c r="L19" s="424"/>
      <c r="M19" s="424"/>
      <c r="N19" s="424"/>
      <c r="O19" s="424"/>
      <c r="P19" s="424"/>
      <c r="Q19" s="424"/>
      <c r="R19" s="424"/>
      <c r="S19" s="424"/>
      <c r="T19" s="424"/>
      <c r="U19" s="424"/>
      <c r="V19" s="424"/>
      <c r="W19" s="425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18" t="s">
        <v>54</v>
      </c>
      <c r="B22" s="419"/>
      <c r="D22" s="19"/>
    </row>
    <row r="23" spans="1:23" s="15" customFormat="1" ht="29.25" customHeight="1" x14ac:dyDescent="0.3">
      <c r="A23" s="439"/>
      <c r="B23" s="440"/>
      <c r="D23" s="16"/>
    </row>
    <row r="24" spans="1:23" s="15" customFormat="1" ht="29.25" customHeight="1" x14ac:dyDescent="0.3">
      <c r="A24" s="441"/>
      <c r="B24" s="442"/>
      <c r="D24" s="16"/>
    </row>
    <row r="25" spans="1:23" s="15" customFormat="1" ht="29.25" customHeight="1" x14ac:dyDescent="0.3">
      <c r="A25" s="441"/>
      <c r="B25" s="442"/>
      <c r="D25" s="16"/>
    </row>
    <row r="26" spans="1:23" s="15" customFormat="1" ht="29.25" customHeight="1" x14ac:dyDescent="0.3">
      <c r="A26" s="441"/>
      <c r="B26" s="442"/>
      <c r="D26" s="16"/>
    </row>
    <row r="27" spans="1:23" s="15" customFormat="1" ht="29.25" customHeight="1" thickBot="1" x14ac:dyDescent="0.35">
      <c r="A27" s="435"/>
      <c r="B27" s="436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2012-12-04T01:02:39Z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