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 activeTab="3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<sst xmlns="http://schemas.openxmlformats.org/spreadsheetml/2006/main" count="1064" uniqueCount="735">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</sst>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190500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3</xdr:col>
          <xdr:colOff>957580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view="pageBreakPreview" zoomScale="43" zoomScaleNormal="100" zoomScaleSheetLayoutView="43" zoomScalePageLayoutView="40" workbookViewId="0">
      <selection activeCell="AD16" sqref="AD16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190500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tabSelected="1" view="pageBreakPreview" zoomScale="40" zoomScaleNormal="100" zoomScaleSheetLayoutView="4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7"/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/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/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/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/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 t="str">
        <f>IF(C7="", "", IF('Facility Info'!H8="Y", IF(C7="Y", "Natural Gas", "None"), IF(C7="Y", "Heat Pump", "None")))</f>
        <v/>
      </c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 t="str">
        <f>IF(C8="", "", IF('Facility Info'!H8="Y", IF(C8="Y", "Natural Gas", "None"), IF(C8="Y", "Heat Pump", "None")))</f>
        <v/>
      </c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 t="str">
        <f>IF(C9="", "", IF('Facility Info'!H8="Y", IF(C9="Y", "Natural Gas", "None"), IF(C9="Y", "Heat Pump", "None")))</f>
        <v/>
      </c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 t="str">
        <f>IF(C10="", "", IF('Facility Info'!H8="Y", IF(C10="Y", "Natural Gas", "None"), IF(C10="Y", "Heat Pump", "None")))</f>
        <v/>
      </c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 t="str">
        <f>IF(C11="", "", IF('Facility Info'!H8="Y", IF(C11="Y", "Natural Gas", "None"), IF(C11="Y", "Heat Pump", "None")))</f>
        <v/>
      </c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 t="str">
        <f>IF(C12="", "", IF('Facility Info'!H8="Y", IF(C12="Y", "Natural Gas", "None"), IF(C12="Y", "Heat Pump", "None")))</f>
        <v/>
      </c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 t="str">
        <f>IF(C13="", "", IF('Facility Info'!H8="Y", IF(C13="Y", "Natural Gas", "None"), IF(C13="Y", "Heat Pump", "None")))</f>
        <v/>
      </c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7" t="str">
        <f>IF(C14="", "", IF('Facility Info'!H8="Y", IF(C14="Y", "Natural Gas", "None"), IF(C14="Y", "Heat Pump", "None")))</f>
        <v/>
      </c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7" t="str">
        <f>IF(C15="", "", IF('Facility Info'!H8="Y", IF(C15="Y", "Natural Gas", "None"), IF(C15="Y", "Heat Pump", "None")))</f>
        <v/>
      </c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7" t="str">
        <f>IF(C16="", "", IF('Facility Info'!H8="Y", IF(C16="Y", "Natural Gas", "None"), IF(C16="Y", "Heat Pump", "None")))</f>
        <v/>
      </c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7" t="str">
        <f>IF(C17="", "", IF('Facility Info'!H8="Y", IF(C17="Y", "Natural Gas", "None"), IF(C17="Y", "Heat Pump", "None")))</f>
        <v/>
      </c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7" t="str">
        <f>IF(C17="", "", IF('Facility Info'!H8="Y", IF(C17="Y", "Natural Gas", "None"), IF(C17="Y", "Heat Pump", "None")))</f>
        <v/>
      </c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3</xdr:col>
                <xdr:colOff>960120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4.4" x14ac:dyDescent="0.3"/>
  <cols>
    <col min="2" max="2" width="107.5546875" bestFit="1" customWidth="1"/>
    <col min="3" max="6" width="8.88671875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customWidth="1"/>
    <col min="5" max="6" width="8.88671875" customWidth="1"/>
    <col min="9" max="9" width="158.5546875" customWidth="1"/>
    <col min="10" max="10" width="9.109375" customWidth="1"/>
    <col min="11" max="23" width="8.88671875" customWidth="1"/>
  </cols>
  <sheetData>
    <row r="1" spans="1:23" s="20" customFormat="1" ht="29.25" customHeight="1" thickBot="1" x14ac:dyDescent="0.35">
      <c r="A1" s="435" t="s">
        <v>34</v>
      </c>
      <c r="B1" s="436"/>
      <c r="C1" s="17"/>
      <c r="D1" s="164"/>
      <c r="E1" s="159"/>
      <c r="I1" s="158" t="s">
        <v>19</v>
      </c>
      <c r="J1" s="444" t="s">
        <v>19</v>
      </c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4" t="s">
        <v>20</v>
      </c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3" t="s">
        <v>632</v>
      </c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6" t="s">
        <v>21</v>
      </c>
      <c r="K4" s="447"/>
      <c r="L4" s="447"/>
      <c r="M4" s="447"/>
      <c r="N4" s="447"/>
      <c r="O4" s="447"/>
      <c r="P4" s="447"/>
      <c r="Q4" s="447"/>
      <c r="R4" s="447"/>
      <c r="S4" s="447"/>
      <c r="T4" s="447"/>
      <c r="U4" s="447"/>
      <c r="V4" s="447"/>
      <c r="W4" s="44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6" t="s">
        <v>22</v>
      </c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1" t="s">
        <v>633</v>
      </c>
      <c r="K6" s="442"/>
      <c r="L6" s="442"/>
      <c r="M6" s="442"/>
      <c r="N6" s="442"/>
      <c r="O6" s="442"/>
      <c r="P6" s="442"/>
      <c r="Q6" s="442"/>
      <c r="R6" s="442"/>
      <c r="S6" s="442"/>
      <c r="T6" s="442"/>
      <c r="U6" s="442"/>
      <c r="V6" s="442"/>
      <c r="W6" s="442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3" t="s">
        <v>634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9" t="s">
        <v>635</v>
      </c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9" t="s">
        <v>636</v>
      </c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  <c r="V9" s="447"/>
      <c r="W9" s="44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0" t="s">
        <v>637</v>
      </c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2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0" t="s">
        <v>638</v>
      </c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2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0" t="s">
        <v>639</v>
      </c>
      <c r="K12" s="451"/>
      <c r="L12" s="451"/>
      <c r="M12" s="451"/>
      <c r="N12" s="451"/>
      <c r="O12" s="451"/>
      <c r="P12" s="451"/>
      <c r="Q12" s="451"/>
      <c r="R12" s="451"/>
      <c r="S12" s="451"/>
      <c r="T12" s="451"/>
      <c r="U12" s="451"/>
      <c r="V12" s="451"/>
      <c r="W12" s="452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9" t="s">
        <v>640</v>
      </c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0" t="s">
        <v>641</v>
      </c>
      <c r="K14" s="451"/>
      <c r="L14" s="451"/>
      <c r="M14" s="451"/>
      <c r="N14" s="451"/>
      <c r="O14" s="451"/>
      <c r="P14" s="451"/>
      <c r="Q14" s="451"/>
      <c r="R14" s="451"/>
      <c r="S14" s="451"/>
      <c r="T14" s="451"/>
      <c r="U14" s="451"/>
      <c r="V14" s="451"/>
      <c r="W14" s="452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3" t="s">
        <v>642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9" t="s">
        <v>643</v>
      </c>
      <c r="K16" s="447"/>
      <c r="L16" s="447"/>
      <c r="M16" s="447"/>
      <c r="N16" s="447"/>
      <c r="O16" s="447"/>
      <c r="P16" s="447"/>
      <c r="Q16" s="447"/>
      <c r="R16" s="447"/>
      <c r="S16" s="447"/>
      <c r="T16" s="447"/>
      <c r="U16" s="447"/>
      <c r="V16" s="447"/>
      <c r="W16" s="44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9" t="s">
        <v>644</v>
      </c>
      <c r="K17" s="447"/>
      <c r="L17" s="447"/>
      <c r="M17" s="447"/>
      <c r="N17" s="447"/>
      <c r="O17" s="447"/>
      <c r="P17" s="447"/>
      <c r="Q17" s="447"/>
      <c r="R17" s="447"/>
      <c r="S17" s="447"/>
      <c r="T17" s="447"/>
      <c r="U17" s="447"/>
      <c r="V17" s="447"/>
      <c r="W17" s="44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3" t="s">
        <v>645</v>
      </c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9" t="s">
        <v>646</v>
      </c>
      <c r="K19" s="447"/>
      <c r="L19" s="447"/>
      <c r="M19" s="447"/>
      <c r="N19" s="447"/>
      <c r="O19" s="447"/>
      <c r="P19" s="447"/>
      <c r="Q19" s="447"/>
      <c r="R19" s="447"/>
      <c r="S19" s="447"/>
      <c r="T19" s="447"/>
      <c r="U19" s="447"/>
      <c r="V19" s="447"/>
      <c r="W19" s="44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37"/>
      <c r="B23" s="438"/>
      <c r="D23" s="16"/>
    </row>
    <row r="24" spans="1:23" s="15" customFormat="1" ht="29.25" customHeight="1" x14ac:dyDescent="0.3">
      <c r="A24" s="439"/>
      <c r="B24" s="440"/>
      <c r="D24" s="16"/>
    </row>
    <row r="25" spans="1:23" s="15" customFormat="1" ht="29.25" customHeight="1" x14ac:dyDescent="0.3">
      <c r="A25" s="439"/>
      <c r="B25" s="440"/>
      <c r="D25" s="16"/>
    </row>
    <row r="26" spans="1:23" s="15" customFormat="1" ht="29.25" customHeight="1" x14ac:dyDescent="0.3">
      <c r="A26" s="439"/>
      <c r="B26" s="440"/>
      <c r="D26" s="16"/>
    </row>
    <row r="27" spans="1:23" s="15" customFormat="1" ht="29.25" customHeight="1" thickBot="1" x14ac:dyDescent="0.35">
      <c r="A27" s="433"/>
      <c r="B27" s="434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2012-11-09T20:57:15Z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