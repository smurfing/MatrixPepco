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8" i="12" l="1"/>
  <c r="M15" i="12"/>
  <c r="M18" i="12"/>
  <c r="M17" i="12"/>
  <c r="M16" i="12"/>
  <c r="M14" i="12"/>
  <c r="M13" i="12"/>
  <c r="M12" i="12"/>
  <c r="M11" i="12"/>
  <c r="M10" i="12"/>
  <c r="M9" i="12"/>
  <c r="M2" i="12"/>
  <c r="M7" i="12"/>
  <c r="M6" i="12"/>
  <c r="M5" i="12"/>
  <c r="M4" i="12"/>
  <c r="M3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<sst xmlns="http://schemas.openxmlformats.org/spreadsheetml/2006/main" count="1064" uniqueCount="735">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</sst>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190500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213360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190500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7" t="str">
        <f>IF(C2="", "", IF('Facility Info'!H8="Y", IF(C2="Y", "Natural Gas", "None"), IF(C2="Y", "Heat Pump", "None")))</f>
        <v/>
      </c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 t="str">
        <f>IF(C3="", "", IF('Facility Info'!H8="Y", IF(C3="Y", "Natural Gas", "None"), IF(C3="Y", "Heat Pump", "None")))</f>
        <v/>
      </c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 t="str">
        <f>IF(C4="", "", IF('Facility Info'!H8="Y", IF(C4="Y", "Natural Gas", "None"), IF(C4="Y", "Heat Pump", "None")))</f>
        <v/>
      </c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 t="str">
        <f>IF(C5="", "", IF('Facility Info'!H8="Y", IF(C5="Y", "Natural Gas", "None"), IF(C5="Y", "Heat Pump", "None")))</f>
        <v/>
      </c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 t="str">
        <f>IF(C6="", "", IF('Facility Info'!H8="Y", IF(C6="Y", "Natural Gas", "None"), IF(C6="Y", "Heat Pump", "None")))</f>
        <v/>
      </c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213360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4.4" x14ac:dyDescent="0.3"/>
  <cols>
    <col min="2" max="2" width="107.5546875" bestFit="1" customWidth="1"/>
    <col min="3" max="6" width="8.88671875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customWidth="1"/>
    <col min="5" max="6" width="8.88671875" customWidth="1"/>
    <col min="9" max="9" width="158.5546875" customWidth="1"/>
    <col min="10" max="10" width="9.109375" customWidth="1"/>
    <col min="11" max="23" width="8.88671875" customWidth="1"/>
  </cols>
  <sheetData>
    <row r="1" spans="1:23" s="20" customFormat="1" ht="29.25" customHeight="1" thickBot="1" x14ac:dyDescent="0.35">
      <c r="A1" s="450" t="s">
        <v>34</v>
      </c>
      <c r="B1" s="451"/>
      <c r="C1" s="17"/>
      <c r="D1" s="164"/>
      <c r="E1" s="159"/>
      <c r="I1" s="158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4" t="s">
        <v>632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7" t="s">
        <v>21</v>
      </c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7" t="s">
        <v>22</v>
      </c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2" t="s">
        <v>633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4" t="s">
        <v>634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36" t="s">
        <v>635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36" t="s">
        <v>636</v>
      </c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3" t="s">
        <v>637</v>
      </c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5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3" t="s">
        <v>638</v>
      </c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5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3" t="s">
        <v>639</v>
      </c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5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36" t="s">
        <v>640</v>
      </c>
      <c r="K13" s="437"/>
      <c r="L13" s="437"/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3" t="s">
        <v>641</v>
      </c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5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39" t="s">
        <v>642</v>
      </c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1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36" t="s">
        <v>643</v>
      </c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36" t="s">
        <v>644</v>
      </c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39" t="s">
        <v>645</v>
      </c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1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36" t="s">
        <v>646</v>
      </c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52"/>
      <c r="B23" s="453"/>
      <c r="D23" s="16"/>
    </row>
    <row r="24" spans="1:23" s="15" customFormat="1" ht="29.25" customHeight="1" x14ac:dyDescent="0.3">
      <c r="A24" s="454"/>
      <c r="B24" s="455"/>
      <c r="D24" s="16"/>
    </row>
    <row r="25" spans="1:23" s="15" customFormat="1" ht="29.25" customHeight="1" x14ac:dyDescent="0.3">
      <c r="A25" s="454"/>
      <c r="B25" s="455"/>
      <c r="D25" s="16"/>
    </row>
    <row r="26" spans="1:23" s="15" customFormat="1" ht="29.25" customHeight="1" x14ac:dyDescent="0.3">
      <c r="A26" s="454"/>
      <c r="B26" s="455"/>
      <c r="D26" s="16"/>
    </row>
    <row r="27" spans="1:23" s="15" customFormat="1" ht="29.25" customHeight="1" thickBot="1" x14ac:dyDescent="0.35">
      <c r="A27" s="448"/>
      <c r="B27" s="449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2012-11-09T19:45:00Z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