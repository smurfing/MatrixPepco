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Lighting'!$AC$2:$AC$15</definedName>
    <definedName name="_xlnm.Print_Area" localSheetId="1">'Business Type'!$A$1:$G$48</definedName>
    <definedName name="_xlnm.Print_Area" localSheetId="12">'Control Equipment'!$A$1:$D$6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Lighting'!$A$1:$S$20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<sst xmlns="http://schemas.openxmlformats.org/spreadsheetml/2006/main" count="1062" uniqueCount="735">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</sst>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56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1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28" xfId="0" applyFont="1" applyFill="1" applyBorder="1" applyAlignment="1">
      <alignment horizontal="left"/>
    </xf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320040</xdr:colOff>
          <xdr:row>1</xdr:row>
          <xdr:rowOff>358140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2</xdr:col>
          <xdr:colOff>15240</xdr:colOff>
          <xdr:row>0</xdr:row>
          <xdr:rowOff>815340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3</xdr:col>
          <xdr:colOff>960120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tabSelected="1" view="pageBreakPreview" zoomScale="43" zoomScaleNormal="100" zoomScaleSheetLayoutView="43" zoomScalePageLayoutView="40" workbookViewId="0">
      <selection activeCell="B1" sqref="B1"/>
    </sheetView>
  </sheetViews>
  <sheetFormatPr defaultColWidth="8.88671875" defaultRowHeight="21" x14ac:dyDescent="0.4"/>
  <cols>
    <col min="1" max="1" width="27.44140625" style="193" customWidth="1"/>
    <col min="2" max="2" width="28.33203125" style="193" customWidth="1"/>
    <col min="3" max="3" width="13.5546875" style="193" customWidth="1"/>
    <col min="4" max="4" width="35.6640625" style="193" customWidth="1"/>
    <col min="5" max="5" width="17.6640625" style="218" customWidth="1"/>
    <col min="6" max="6" width="15.44140625" style="193" customWidth="1"/>
    <col min="7" max="7" width="24.33203125" style="193" customWidth="1"/>
    <col min="8" max="8" width="20.5546875" style="193" customWidth="1"/>
    <col min="9" max="9" width="22.44140625" style="193" customWidth="1"/>
    <col min="10" max="10" width="21.109375" style="193" customWidth="1"/>
    <col min="11" max="11" width="28.88671875" style="193" customWidth="1"/>
    <col min="12" max="12" width="23.44140625" style="193" customWidth="1"/>
    <col min="13" max="13" width="24.109375" style="193" hidden="1" customWidth="1"/>
    <col min="14" max="14" width="10.33203125" style="193" hidden="1" customWidth="1"/>
    <col min="15" max="15" width="8.88671875" style="219" hidden="1" customWidth="1"/>
    <col min="16" max="18" width="8.88671875" style="193" hidden="1" customWidth="1"/>
    <col min="19" max="19" width="13.33203125" style="193" hidden="1" customWidth="1"/>
    <col min="20" max="26" width="8.88671875" style="193" hidden="1" customWidth="1"/>
    <col min="27" max="27" width="15.5546875" style="193" hidden="1" customWidth="1"/>
    <col min="28" max="28" width="15.88671875" style="193" hidden="1" customWidth="1"/>
    <col min="29" max="29" width="8.88671875" style="193" customWidth="1"/>
    <col min="30" max="30" width="91.109375" style="193" customWidth="1"/>
    <col min="31" max="16384" width="8.88671875" style="193"/>
  </cols>
  <sheetData>
    <row r="1" spans="1:30" s="178" customFormat="1" ht="54.6" customHeight="1" x14ac:dyDescent="0.4">
      <c r="A1" s="241" t="s">
        <v>13</v>
      </c>
      <c r="B1" s="345"/>
      <c r="C1" s="230"/>
      <c r="D1" s="174"/>
      <c r="E1" s="175"/>
      <c r="F1" s="175"/>
      <c r="G1" s="176" t="s">
        <v>39</v>
      </c>
      <c r="H1" s="346" t="s">
        <v>663</v>
      </c>
      <c r="I1" s="186"/>
      <c r="J1" s="177" t="s">
        <v>41</v>
      </c>
      <c r="K1" s="231" t="str">
        <f>IFERROR(VLOOKUP(H1, A55:C62,3, FALSE), "")</f>
        <v/>
      </c>
      <c r="L1" s="186"/>
      <c r="O1" s="179"/>
      <c r="P1" s="179"/>
      <c r="Q1" s="180"/>
      <c r="AD1" s="398" t="s">
        <v>652</v>
      </c>
    </row>
    <row r="2" spans="1:30" s="178" customFormat="1" ht="65.400000000000006" customHeight="1" x14ac:dyDescent="0.4">
      <c r="A2" s="242" t="s">
        <v>45</v>
      </c>
      <c r="B2" s="346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8" t="s">
        <v>653</v>
      </c>
    </row>
    <row r="3" spans="1:30" s="178" customFormat="1" ht="69.599999999999994" customHeight="1" x14ac:dyDescent="0.4">
      <c r="A3" s="202" t="s">
        <v>298</v>
      </c>
      <c r="B3" s="346"/>
      <c r="C3" s="186"/>
      <c r="D3" s="183" t="s">
        <v>312</v>
      </c>
      <c r="E3" s="346"/>
      <c r="F3" s="182"/>
      <c r="G3" s="418" t="s">
        <v>313</v>
      </c>
      <c r="H3" s="419"/>
      <c r="I3" s="233"/>
      <c r="J3" s="289" t="s">
        <v>314</v>
      </c>
      <c r="K3" s="233"/>
      <c r="L3" s="227"/>
      <c r="O3" s="184"/>
      <c r="P3" s="184"/>
      <c r="Q3" s="180"/>
      <c r="AD3" s="398" t="s">
        <v>654</v>
      </c>
    </row>
    <row r="4" spans="1:30" s="178" customFormat="1" ht="72.75" customHeight="1" x14ac:dyDescent="0.4">
      <c r="A4" s="202" t="s">
        <v>46</v>
      </c>
      <c r="B4" s="346"/>
      <c r="C4" s="186"/>
      <c r="D4" s="186"/>
      <c r="E4" s="186"/>
      <c r="F4" s="182"/>
      <c r="G4" s="183" t="s">
        <v>15</v>
      </c>
      <c r="H4" s="233" t="str">
        <f>IFERROR(VLOOKUP(H1, A55:C62,2, FALSE), "")</f>
        <v/>
      </c>
      <c r="I4" s="182"/>
      <c r="J4" s="182"/>
      <c r="K4" s="182"/>
      <c r="L4" s="182"/>
      <c r="O4" s="184"/>
      <c r="P4" s="184"/>
      <c r="Q4" s="180"/>
      <c r="AD4" s="398" t="s">
        <v>655</v>
      </c>
    </row>
    <row r="5" spans="1:30" s="178" customFormat="1" ht="33" customHeight="1" x14ac:dyDescent="0.4">
      <c r="A5" s="242" t="s">
        <v>310</v>
      </c>
      <c r="B5" s="346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4">
      <c r="A6" s="202" t="s">
        <v>49</v>
      </c>
      <c r="B6" s="232"/>
      <c r="C6" s="189"/>
      <c r="D6" s="289" t="s">
        <v>315</v>
      </c>
      <c r="E6" s="348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4">
      <c r="A7" s="288" t="s">
        <v>316</v>
      </c>
      <c r="B7" s="347"/>
      <c r="C7" s="182"/>
      <c r="D7" s="182"/>
      <c r="E7" s="182"/>
      <c r="F7" s="179"/>
      <c r="G7" s="235"/>
      <c r="H7" s="235"/>
      <c r="I7" s="235"/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4">
      <c r="A8" s="242" t="s">
        <v>44</v>
      </c>
      <c r="B8" s="348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4">
      <c r="A9" s="242" t="s">
        <v>16</v>
      </c>
      <c r="B9" s="323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4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9" t="s">
        <v>656</v>
      </c>
    </row>
    <row r="11" spans="1:30" ht="36.75" customHeight="1" thickBot="1" x14ac:dyDescent="0.45">
      <c r="A11" s="197" t="s">
        <v>257</v>
      </c>
      <c r="B11" s="179"/>
      <c r="C11" s="179"/>
      <c r="D11" s="349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2" t="s">
        <v>659</v>
      </c>
    </row>
    <row r="12" spans="1:30" ht="36.75" customHeight="1" x14ac:dyDescent="0.4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0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400" t="s">
        <v>660</v>
      </c>
    </row>
    <row r="13" spans="1:30" ht="48.75" customHeight="1" x14ac:dyDescent="0.4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1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401" t="s">
        <v>661</v>
      </c>
    </row>
    <row r="14" spans="1:30" ht="36.75" customHeight="1" x14ac:dyDescent="0.4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6"/>
      <c r="I14" s="397"/>
      <c r="J14" s="290"/>
      <c r="N14" s="330">
        <f t="shared" ref="N14:N20" si="0">IF(ISBLANK(H14), 0, 1)</f>
        <v>0</v>
      </c>
      <c r="O14" s="331">
        <f>(I14-H14)*24</f>
        <v>0</v>
      </c>
      <c r="S14" s="334"/>
      <c r="T14" s="179"/>
      <c r="U14" s="179"/>
      <c r="V14" s="179"/>
      <c r="Z14" s="193" t="str">
        <f>IF(N14=1, "Mon:", "")</f>
        <v/>
      </c>
      <c r="AA14" s="326" t="str">
        <f t="shared" ref="AA14:AA20" si="1">IF(N14=1, TEXT(TIME(HOUR(H14), MINUTE(H14), SECOND(H14)), " h:mm AM/PM-"), "")</f>
        <v/>
      </c>
      <c r="AB14" s="326" t="str">
        <f>IF(N14=1, TEXT(TIME(HOUR(I14), MINUTE(I14), SECOND(I14)), "h:mm AM/PM "), "")</f>
        <v/>
      </c>
      <c r="AD14" s="399" t="s">
        <v>662</v>
      </c>
    </row>
    <row r="15" spans="1:30" ht="36.75" customHeight="1" x14ac:dyDescent="0.4">
      <c r="A15" s="181" t="s">
        <v>80</v>
      </c>
      <c r="B15" s="349"/>
      <c r="C15" s="179"/>
      <c r="D15" s="183" t="s">
        <v>311</v>
      </c>
      <c r="E15" s="350"/>
      <c r="F15" s="183"/>
      <c r="G15" s="200" t="s">
        <v>51</v>
      </c>
      <c r="H15" s="396"/>
      <c r="I15" s="397"/>
      <c r="J15" s="201"/>
      <c r="N15" s="330">
        <f t="shared" si="0"/>
        <v>0</v>
      </c>
      <c r="O15" s="331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6" t="str">
        <f t="shared" si="1"/>
        <v/>
      </c>
      <c r="AB15" s="326" t="str">
        <f t="shared" ref="AB15:AB20" si="3">IF(N15=1, TEXT(TIME(HOUR(I15), MINUTE(I15), SECOND(I15)), "h:mm AM/PM "), "")</f>
        <v/>
      </c>
    </row>
    <row r="16" spans="1:30" ht="36.75" customHeight="1" x14ac:dyDescent="0.65">
      <c r="A16" s="181" t="s">
        <v>235</v>
      </c>
      <c r="B16" s="234"/>
      <c r="C16" s="179"/>
      <c r="D16" s="183" t="s">
        <v>318</v>
      </c>
      <c r="E16" s="351"/>
      <c r="F16" s="183"/>
      <c r="G16" s="200" t="s">
        <v>52</v>
      </c>
      <c r="H16" s="396"/>
      <c r="I16" s="397"/>
      <c r="J16" s="201"/>
      <c r="N16" s="330">
        <f t="shared" si="0"/>
        <v>0</v>
      </c>
      <c r="O16" s="331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6" t="str">
        <f t="shared" si="1"/>
        <v/>
      </c>
      <c r="AB16" s="326" t="str">
        <f t="shared" si="3"/>
        <v/>
      </c>
      <c r="AD16" s="403" t="s">
        <v>657</v>
      </c>
    </row>
    <row r="17" spans="1:30" ht="51.75" customHeight="1" x14ac:dyDescent="0.65">
      <c r="A17" s="288"/>
      <c r="B17" s="179"/>
      <c r="C17" s="179"/>
      <c r="D17" s="183" t="s">
        <v>324</v>
      </c>
      <c r="E17" s="291"/>
      <c r="F17" s="183"/>
      <c r="G17" s="200" t="s">
        <v>53</v>
      </c>
      <c r="H17" s="396"/>
      <c r="I17" s="397"/>
      <c r="J17" s="201"/>
      <c r="N17" s="330">
        <f t="shared" si="0"/>
        <v>0</v>
      </c>
      <c r="O17" s="331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6" t="str">
        <f t="shared" si="1"/>
        <v/>
      </c>
      <c r="AB17" s="326" t="str">
        <f>IF(N17=1, TEXT(TIME(HOUR(I17), MINUTE(I17), SECOND(I17)), "h:mm AM/PM "), "")</f>
        <v/>
      </c>
      <c r="AD17" s="403" t="s">
        <v>658</v>
      </c>
    </row>
    <row r="18" spans="1:30" ht="36.75" customHeight="1" x14ac:dyDescent="0.4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6"/>
      <c r="I18" s="397"/>
      <c r="J18" s="201"/>
      <c r="N18" s="330">
        <f t="shared" si="0"/>
        <v>0</v>
      </c>
      <c r="O18" s="331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6" t="str">
        <f t="shared" si="1"/>
        <v/>
      </c>
      <c r="AB18" s="326" t="str">
        <f>IF(N18=1, TEXT(TIME(HOUR(I18), MINUTE(I18), SECOND(I18)), "h:mm AM/PM "), "")</f>
        <v/>
      </c>
    </row>
    <row r="19" spans="1:30" ht="36.75" customHeight="1" x14ac:dyDescent="0.4">
      <c r="A19" s="195"/>
      <c r="B19" s="179"/>
      <c r="C19" s="179"/>
      <c r="D19" s="189"/>
      <c r="E19" s="196"/>
      <c r="F19" s="189"/>
      <c r="G19" s="200" t="s">
        <v>47</v>
      </c>
      <c r="H19" s="396"/>
      <c r="I19" s="397"/>
      <c r="J19" s="201"/>
      <c r="N19" s="330">
        <f t="shared" si="0"/>
        <v>0</v>
      </c>
      <c r="O19" s="331">
        <f t="shared" si="2"/>
        <v>0</v>
      </c>
      <c r="R19" s="194"/>
      <c r="S19" s="179"/>
      <c r="T19" s="179"/>
      <c r="Z19" s="193" t="str">
        <f>IF(N19=1, "Sat:", "")</f>
        <v/>
      </c>
      <c r="AA19" s="326" t="str">
        <f t="shared" si="1"/>
        <v/>
      </c>
      <c r="AB19" s="326" t="str">
        <f>IF(N19=1, TEXT(TIME(HOUR(I19), MINUTE(I19), SECOND(I19)), "h:mm AM/PM "), "")</f>
        <v/>
      </c>
    </row>
    <row r="20" spans="1:30" s="208" customFormat="1" ht="36.75" customHeight="1" x14ac:dyDescent="0.4">
      <c r="A20" s="185"/>
      <c r="B20" s="207"/>
      <c r="C20" s="207"/>
      <c r="D20" s="207"/>
      <c r="E20" s="207"/>
      <c r="F20" s="207"/>
      <c r="G20" s="200" t="s">
        <v>48</v>
      </c>
      <c r="H20" s="396"/>
      <c r="I20" s="397"/>
      <c r="J20" s="201"/>
      <c r="M20" s="207"/>
      <c r="N20" s="330">
        <f t="shared" si="0"/>
        <v>0</v>
      </c>
      <c r="O20" s="331">
        <f t="shared" si="2"/>
        <v>0</v>
      </c>
      <c r="Z20" s="193" t="str">
        <f>IF(N20=1, "Sun:", "")</f>
        <v/>
      </c>
      <c r="AA20" s="326" t="str">
        <f t="shared" si="1"/>
        <v/>
      </c>
      <c r="AB20" s="326" t="str">
        <f t="shared" si="3"/>
        <v/>
      </c>
    </row>
    <row r="21" spans="1:30" ht="36.75" customHeight="1" thickBot="1" x14ac:dyDescent="0.45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7" t="s">
        <v>576</v>
      </c>
      <c r="O21" s="328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4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9">
        <f>SUM(N14:N20)</f>
        <v>0</v>
      </c>
      <c r="O22" s="332">
        <f>SUM(O14:O20)</f>
        <v>0</v>
      </c>
      <c r="P22" s="333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4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4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18" customHeight="1" x14ac:dyDescent="0.4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</row>
    <row r="26" spans="1:30" ht="18" customHeight="1" x14ac:dyDescent="0.4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</row>
    <row r="27" spans="1:30" ht="20.25" customHeight="1" x14ac:dyDescent="0.4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4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5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/>
      <c r="O29" s="193"/>
    </row>
    <row r="30" spans="1:30" ht="18" customHeight="1" x14ac:dyDescent="0.4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4">
      <c r="A54" s="193" t="s">
        <v>726</v>
      </c>
    </row>
    <row r="55" spans="1:3" x14ac:dyDescent="0.4">
      <c r="A55"/>
      <c r="B55"/>
      <c r="C55"/>
    </row>
    <row r="56" spans="1:3" x14ac:dyDescent="0.4">
      <c r="A56" t="s">
        <v>705</v>
      </c>
      <c r="B56" t="s">
        <v>706</v>
      </c>
      <c r="C56" t="s">
        <v>707</v>
      </c>
    </row>
    <row r="57" spans="1:3" x14ac:dyDescent="0.4">
      <c r="A57" t="s">
        <v>708</v>
      </c>
      <c r="B57" t="s">
        <v>709</v>
      </c>
      <c r="C57" t="s">
        <v>710</v>
      </c>
    </row>
    <row r="58" spans="1:3" x14ac:dyDescent="0.4">
      <c r="A58" t="s">
        <v>711</v>
      </c>
      <c r="B58" t="s">
        <v>712</v>
      </c>
      <c r="C58" t="s">
        <v>713</v>
      </c>
    </row>
    <row r="59" spans="1:3" x14ac:dyDescent="0.4">
      <c r="A59" t="s">
        <v>714</v>
      </c>
      <c r="B59" t="s">
        <v>715</v>
      </c>
      <c r="C59" t="s">
        <v>716</v>
      </c>
    </row>
    <row r="60" spans="1:3" x14ac:dyDescent="0.4">
      <c r="A60" t="s">
        <v>717</v>
      </c>
      <c r="B60" t="s">
        <v>718</v>
      </c>
      <c r="C60" t="s">
        <v>719</v>
      </c>
    </row>
    <row r="61" spans="1:3" x14ac:dyDescent="0.4">
      <c r="A61" t="s">
        <v>720</v>
      </c>
      <c r="B61" t="s">
        <v>721</v>
      </c>
      <c r="C61" t="s">
        <v>722</v>
      </c>
    </row>
    <row r="62" spans="1:3" x14ac:dyDescent="0.4">
      <c r="A62" t="s">
        <v>723</v>
      </c>
      <c r="B62" t="s">
        <v>724</v>
      </c>
      <c r="C62" t="s">
        <v>725</v>
      </c>
    </row>
    <row r="109" spans="37:37" hidden="1" x14ac:dyDescent="0.4">
      <c r="AK109" s="193" t="s">
        <v>664</v>
      </c>
    </row>
    <row r="110" spans="37:37" hidden="1" x14ac:dyDescent="0.4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320040</xdr:colOff>
                <xdr:row>1</xdr:row>
                <xdr:rowOff>358140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8"/>
  <sheetViews>
    <sheetView view="pageBreakPreview" zoomScale="85" zoomScaleNormal="85" zoomScaleSheetLayoutView="85" zoomScalePageLayoutView="85" workbookViewId="0">
      <selection activeCell="A2" sqref="A2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</cols>
  <sheetData>
    <row r="1" spans="1:11" s="2" customFormat="1" ht="41.25" customHeight="1" x14ac:dyDescent="0.3">
      <c r="A1" s="422" t="s">
        <v>301</v>
      </c>
      <c r="B1" s="422"/>
      <c r="C1" s="422"/>
      <c r="D1" s="423" t="s">
        <v>302</v>
      </c>
      <c r="E1" s="424"/>
      <c r="F1" s="338" t="s">
        <v>558</v>
      </c>
      <c r="G1" s="325" t="s">
        <v>558</v>
      </c>
      <c r="H1" s="24"/>
      <c r="I1" s="24"/>
      <c r="J1" s="24"/>
      <c r="K1" s="24"/>
    </row>
    <row r="2" spans="1:11" s="2" customFormat="1" ht="41.25" customHeight="1" x14ac:dyDescent="0.3">
      <c r="A2" s="352"/>
      <c r="B2" s="239"/>
      <c r="C2" s="236"/>
      <c r="D2" s="353"/>
      <c r="E2" s="237"/>
      <c r="F2" s="354"/>
      <c r="G2" s="355"/>
      <c r="H2" s="24"/>
      <c r="I2" s="24"/>
      <c r="J2" s="24"/>
      <c r="K2" s="24"/>
    </row>
    <row r="3" spans="1:11" s="2" customFormat="1" ht="41.25" customHeight="1" x14ac:dyDescent="0.3">
      <c r="A3" s="240"/>
      <c r="B3" s="236"/>
      <c r="C3" s="236" t="s">
        <v>309</v>
      </c>
      <c r="D3" s="238"/>
      <c r="E3" s="239" t="s">
        <v>309</v>
      </c>
      <c r="F3" s="343"/>
      <c r="G3" s="344"/>
      <c r="H3" s="24"/>
      <c r="I3" s="24"/>
      <c r="J3" s="24"/>
      <c r="K3" s="24"/>
    </row>
    <row r="4" spans="1:11" s="2" customFormat="1" ht="18" customHeight="1" x14ac:dyDescent="0.3">
      <c r="A4" s="340" t="s">
        <v>81</v>
      </c>
      <c r="B4" s="50"/>
      <c r="C4" s="50"/>
      <c r="D4" s="40" t="s">
        <v>82</v>
      </c>
      <c r="E4" s="51"/>
      <c r="F4" s="339" t="s">
        <v>561</v>
      </c>
      <c r="G4" s="324" t="s">
        <v>559</v>
      </c>
      <c r="H4" s="24"/>
      <c r="I4" s="24"/>
      <c r="J4" s="24"/>
      <c r="K4" s="24"/>
    </row>
    <row r="5" spans="1:11" s="2" customFormat="1" ht="18" customHeight="1" x14ac:dyDescent="0.3">
      <c r="A5" s="341" t="s">
        <v>17</v>
      </c>
      <c r="B5" s="1"/>
      <c r="C5" s="1"/>
      <c r="D5" s="39" t="s">
        <v>83</v>
      </c>
      <c r="E5" s="42"/>
      <c r="F5" s="339" t="s">
        <v>562</v>
      </c>
      <c r="G5" s="324" t="s">
        <v>560</v>
      </c>
      <c r="H5" s="24"/>
      <c r="I5" s="24"/>
      <c r="J5" s="24"/>
      <c r="K5" s="24"/>
    </row>
    <row r="6" spans="1:11" s="2" customFormat="1" ht="18" customHeight="1" x14ac:dyDescent="0.3">
      <c r="A6" s="341" t="s">
        <v>94</v>
      </c>
      <c r="B6" s="1"/>
      <c r="C6" s="1"/>
      <c r="D6" s="39" t="s">
        <v>84</v>
      </c>
      <c r="E6" s="42"/>
      <c r="F6" s="339" t="s">
        <v>627</v>
      </c>
      <c r="G6" s="324" t="s">
        <v>561</v>
      </c>
      <c r="H6" s="24"/>
      <c r="I6" s="24"/>
      <c r="J6" s="24"/>
      <c r="K6" s="24"/>
    </row>
    <row r="7" spans="1:11" s="2" customFormat="1" ht="18" customHeight="1" x14ac:dyDescent="0.3">
      <c r="A7" s="341" t="s">
        <v>104</v>
      </c>
      <c r="B7" s="1"/>
      <c r="C7" s="1"/>
      <c r="D7" s="39" t="s">
        <v>85</v>
      </c>
      <c r="E7" s="42"/>
      <c r="F7" s="339" t="s">
        <v>17</v>
      </c>
      <c r="G7" s="324" t="s">
        <v>562</v>
      </c>
      <c r="H7" s="24"/>
      <c r="I7" s="24"/>
      <c r="J7" s="24"/>
      <c r="K7" s="24"/>
    </row>
    <row r="8" spans="1:11" s="2" customFormat="1" ht="18" customHeight="1" x14ac:dyDescent="0.3">
      <c r="A8" s="341" t="s">
        <v>111</v>
      </c>
      <c r="B8" s="1"/>
      <c r="C8" s="1"/>
      <c r="D8" s="39" t="s">
        <v>86</v>
      </c>
      <c r="E8" s="42"/>
      <c r="F8" s="339" t="s">
        <v>628</v>
      </c>
      <c r="G8" s="324" t="s">
        <v>563</v>
      </c>
      <c r="H8" s="24"/>
      <c r="I8" s="24"/>
      <c r="J8" s="24"/>
      <c r="K8" s="24"/>
    </row>
    <row r="9" spans="1:11" s="2" customFormat="1" ht="18" customHeight="1" x14ac:dyDescent="0.3">
      <c r="A9" s="341" t="s">
        <v>116</v>
      </c>
      <c r="B9" s="41"/>
      <c r="C9" s="41"/>
      <c r="D9" s="29" t="s">
        <v>87</v>
      </c>
      <c r="E9" s="52"/>
      <c r="F9" s="339" t="s">
        <v>629</v>
      </c>
      <c r="G9" s="324" t="s">
        <v>564</v>
      </c>
      <c r="H9" s="24"/>
      <c r="I9" s="24"/>
      <c r="J9" s="24"/>
      <c r="K9" s="24"/>
    </row>
    <row r="10" spans="1:11" s="2" customFormat="1" ht="18" customHeight="1" x14ac:dyDescent="0.3">
      <c r="A10" s="341" t="s">
        <v>120</v>
      </c>
      <c r="B10" s="50"/>
      <c r="C10" s="50"/>
      <c r="D10" s="40" t="s">
        <v>88</v>
      </c>
      <c r="E10" s="51"/>
      <c r="F10" s="339" t="s">
        <v>630</v>
      </c>
      <c r="G10" s="324" t="s">
        <v>565</v>
      </c>
      <c r="H10" s="24"/>
      <c r="I10" s="24"/>
      <c r="J10" s="24"/>
      <c r="K10" s="24"/>
    </row>
    <row r="11" spans="1:11" s="2" customFormat="1" ht="18" customHeight="1" x14ac:dyDescent="0.3">
      <c r="A11" s="341" t="s">
        <v>123</v>
      </c>
      <c r="B11" s="1"/>
      <c r="C11" s="1"/>
      <c r="D11" s="39" t="s">
        <v>89</v>
      </c>
      <c r="E11" s="42"/>
      <c r="F11" s="339" t="s">
        <v>631</v>
      </c>
      <c r="G11" s="324" t="s">
        <v>566</v>
      </c>
      <c r="H11" s="24"/>
      <c r="I11" s="24"/>
      <c r="J11" s="24"/>
      <c r="K11" s="24"/>
    </row>
    <row r="12" spans="1:11" s="2" customFormat="1" ht="18" customHeight="1" x14ac:dyDescent="0.3">
      <c r="A12" s="341" t="s">
        <v>191</v>
      </c>
      <c r="B12" s="1"/>
      <c r="C12" s="1"/>
      <c r="D12" s="39" t="s">
        <v>90</v>
      </c>
      <c r="E12" s="42"/>
      <c r="F12" s="339" t="s">
        <v>572</v>
      </c>
      <c r="G12" s="324" t="s">
        <v>567</v>
      </c>
      <c r="H12" s="24"/>
      <c r="I12" s="24"/>
      <c r="J12" s="24"/>
      <c r="K12" s="24"/>
    </row>
    <row r="13" spans="1:11" s="2" customFormat="1" ht="18" customHeight="1" x14ac:dyDescent="0.3">
      <c r="A13" s="342"/>
      <c r="B13" s="1"/>
      <c r="C13" s="1"/>
      <c r="D13" s="39" t="s">
        <v>91</v>
      </c>
      <c r="E13" s="42"/>
      <c r="F13" s="339" t="s">
        <v>573</v>
      </c>
      <c r="G13" s="324" t="s">
        <v>568</v>
      </c>
      <c r="H13" s="24"/>
      <c r="I13" s="24"/>
      <c r="J13" s="24"/>
      <c r="K13" s="24"/>
    </row>
    <row r="14" spans="1:11" s="2" customFormat="1" ht="18" customHeight="1" x14ac:dyDescent="0.3">
      <c r="A14" s="342"/>
      <c r="B14" s="1"/>
      <c r="C14" s="1"/>
      <c r="D14" s="39" t="s">
        <v>92</v>
      </c>
      <c r="E14" s="42"/>
      <c r="F14" s="339" t="s">
        <v>560</v>
      </c>
      <c r="G14" s="324" t="s">
        <v>569</v>
      </c>
      <c r="H14" s="24"/>
      <c r="I14" s="24"/>
      <c r="J14" s="24"/>
      <c r="K14" s="24"/>
    </row>
    <row r="15" spans="1:11" s="2" customFormat="1" ht="18" customHeight="1" x14ac:dyDescent="0.3">
      <c r="A15" s="342"/>
      <c r="B15" s="41"/>
      <c r="C15" s="41"/>
      <c r="D15" s="29" t="s">
        <v>93</v>
      </c>
      <c r="E15" s="52"/>
      <c r="F15" s="339" t="s">
        <v>91</v>
      </c>
      <c r="G15" s="324" t="s">
        <v>1</v>
      </c>
      <c r="H15" s="24"/>
      <c r="I15" s="24"/>
      <c r="J15" s="24"/>
      <c r="K15" s="24"/>
    </row>
    <row r="16" spans="1:11" s="2" customFormat="1" ht="18" customHeight="1" x14ac:dyDescent="0.3">
      <c r="A16" s="342"/>
      <c r="B16" s="50"/>
      <c r="C16" s="50"/>
      <c r="D16" s="40" t="s">
        <v>95</v>
      </c>
      <c r="E16" s="51"/>
      <c r="F16" s="339" t="s">
        <v>1</v>
      </c>
      <c r="G16" s="324" t="s">
        <v>570</v>
      </c>
      <c r="H16" s="24"/>
      <c r="I16" s="24"/>
      <c r="J16" s="24"/>
      <c r="K16" s="24"/>
    </row>
    <row r="17" spans="1:11" s="2" customFormat="1" ht="18" customHeight="1" x14ac:dyDescent="0.3">
      <c r="A17" s="342"/>
      <c r="B17" s="1"/>
      <c r="C17" s="1"/>
      <c r="D17" s="39" t="s">
        <v>96</v>
      </c>
      <c r="E17" s="42"/>
      <c r="F17" s="339"/>
      <c r="G17" s="324" t="s">
        <v>571</v>
      </c>
      <c r="H17" s="24"/>
      <c r="I17" s="24"/>
      <c r="J17" s="24"/>
      <c r="K17" s="24"/>
    </row>
    <row r="18" spans="1:11" s="2" customFormat="1" ht="18" customHeight="1" x14ac:dyDescent="0.3">
      <c r="A18" s="342"/>
      <c r="B18" s="1"/>
      <c r="C18" s="1"/>
      <c r="D18" s="39" t="s">
        <v>97</v>
      </c>
      <c r="E18" s="42"/>
      <c r="F18" s="339"/>
      <c r="G18" s="324" t="s">
        <v>572</v>
      </c>
      <c r="H18" s="24"/>
      <c r="I18" s="24"/>
      <c r="J18" s="24"/>
      <c r="K18" s="24"/>
    </row>
    <row r="19" spans="1:11" s="2" customFormat="1" ht="18" customHeight="1" x14ac:dyDescent="0.3">
      <c r="A19" s="342"/>
      <c r="B19" s="1"/>
      <c r="C19" s="1"/>
      <c r="D19" s="39" t="s">
        <v>98</v>
      </c>
      <c r="E19" s="42"/>
      <c r="F19" s="339"/>
      <c r="G19" s="324" t="s">
        <v>573</v>
      </c>
      <c r="H19" s="24"/>
      <c r="I19" s="24"/>
      <c r="J19" s="24"/>
      <c r="K19" s="24"/>
    </row>
    <row r="20" spans="1:11" s="2" customFormat="1" ht="18" customHeight="1" x14ac:dyDescent="0.3">
      <c r="A20" s="342"/>
      <c r="B20" s="1"/>
      <c r="C20" s="1"/>
      <c r="D20" s="39" t="s">
        <v>91</v>
      </c>
      <c r="E20" s="42"/>
      <c r="F20" s="339"/>
      <c r="G20" s="324" t="s">
        <v>91</v>
      </c>
      <c r="H20" s="24"/>
      <c r="I20" s="24"/>
      <c r="J20" s="24"/>
      <c r="K20" s="24"/>
    </row>
    <row r="21" spans="1:11" s="2" customFormat="1" ht="18" customHeight="1" x14ac:dyDescent="0.3">
      <c r="A21" s="342"/>
      <c r="B21" s="1"/>
      <c r="C21" s="1"/>
      <c r="D21" s="39" t="s">
        <v>99</v>
      </c>
      <c r="E21" s="42"/>
      <c r="F21" s="339"/>
      <c r="G21" s="324"/>
      <c r="H21" s="24"/>
      <c r="I21" s="24"/>
      <c r="J21" s="24"/>
      <c r="K21" s="24"/>
    </row>
    <row r="22" spans="1:11" s="2" customFormat="1" ht="18" customHeight="1" x14ac:dyDescent="0.3">
      <c r="A22" s="342"/>
      <c r="B22" s="1"/>
      <c r="C22" s="1"/>
      <c r="D22" s="39" t="s">
        <v>100</v>
      </c>
      <c r="E22" s="42"/>
      <c r="F22" s="339"/>
      <c r="G22" s="324"/>
      <c r="H22" s="24"/>
      <c r="I22" s="24"/>
      <c r="J22" s="24"/>
      <c r="K22" s="24"/>
    </row>
    <row r="23" spans="1:11" s="2" customFormat="1" ht="18" customHeight="1" x14ac:dyDescent="0.3">
      <c r="A23" s="342"/>
      <c r="B23" s="1"/>
      <c r="C23" s="1"/>
      <c r="D23" s="39" t="s">
        <v>101</v>
      </c>
      <c r="E23" s="42"/>
      <c r="F23" s="339"/>
      <c r="G23" s="324"/>
      <c r="H23" s="24"/>
      <c r="I23" s="24"/>
      <c r="J23" s="24"/>
      <c r="K23" s="24"/>
    </row>
    <row r="24" spans="1:11" s="2" customFormat="1" ht="18" customHeight="1" x14ac:dyDescent="0.3">
      <c r="A24" s="342"/>
      <c r="B24" s="1"/>
      <c r="C24" s="1"/>
      <c r="D24" s="39" t="s">
        <v>102</v>
      </c>
      <c r="E24" s="42"/>
      <c r="F24" s="339"/>
      <c r="G24" s="324"/>
      <c r="H24" s="24"/>
      <c r="I24" s="24"/>
      <c r="J24" s="24"/>
      <c r="K24" s="24"/>
    </row>
    <row r="25" spans="1:11" s="2" customFormat="1" ht="18" customHeight="1" x14ac:dyDescent="0.3">
      <c r="A25" s="342"/>
      <c r="B25" s="41"/>
      <c r="C25" s="41"/>
      <c r="D25" s="29" t="s">
        <v>103</v>
      </c>
      <c r="E25" s="52"/>
      <c r="F25" s="339"/>
      <c r="G25" s="324"/>
      <c r="H25" s="24"/>
      <c r="I25" s="24"/>
      <c r="J25" s="24"/>
      <c r="K25" s="24"/>
    </row>
    <row r="26" spans="1:11" s="2" customFormat="1" ht="18" customHeight="1" x14ac:dyDescent="0.3">
      <c r="A26" s="342"/>
      <c r="B26" s="50"/>
      <c r="C26" s="50"/>
      <c r="D26" s="40" t="s">
        <v>105</v>
      </c>
      <c r="E26" s="51"/>
      <c r="F26" s="339"/>
      <c r="G26" s="324"/>
      <c r="H26" s="24"/>
      <c r="I26" s="24"/>
      <c r="J26" s="24"/>
      <c r="K26" s="24"/>
    </row>
    <row r="27" spans="1:11" s="2" customFormat="1" ht="18" customHeight="1" x14ac:dyDescent="0.3">
      <c r="A27" s="342"/>
      <c r="B27" s="1"/>
      <c r="C27" s="1"/>
      <c r="D27" s="39" t="s">
        <v>99</v>
      </c>
      <c r="E27" s="42"/>
      <c r="F27" s="339"/>
      <c r="G27" s="324"/>
      <c r="H27" s="24"/>
      <c r="I27" s="24"/>
      <c r="J27" s="24"/>
      <c r="K27" s="24"/>
    </row>
    <row r="28" spans="1:11" s="2" customFormat="1" ht="18" customHeight="1" x14ac:dyDescent="0.3">
      <c r="A28" s="342"/>
      <c r="B28" s="1"/>
      <c r="C28" s="1"/>
      <c r="D28" s="39" t="s">
        <v>106</v>
      </c>
      <c r="E28" s="42"/>
      <c r="F28" s="339"/>
      <c r="G28" s="324"/>
      <c r="H28" s="24"/>
      <c r="I28" s="24"/>
      <c r="J28" s="24"/>
      <c r="K28" s="24"/>
    </row>
    <row r="29" spans="1:11" s="2" customFormat="1" ht="18" customHeight="1" x14ac:dyDescent="0.3">
      <c r="A29" s="342"/>
      <c r="B29" s="1"/>
      <c r="C29" s="1"/>
      <c r="D29" s="39" t="s">
        <v>107</v>
      </c>
      <c r="E29" s="42"/>
      <c r="F29" s="339"/>
      <c r="G29" s="324"/>
      <c r="H29" s="24"/>
      <c r="I29" s="24"/>
      <c r="J29" s="24"/>
      <c r="K29" s="24"/>
    </row>
    <row r="30" spans="1:11" s="2" customFormat="1" ht="18" customHeight="1" x14ac:dyDescent="0.3">
      <c r="A30" s="342"/>
      <c r="B30" s="1"/>
      <c r="C30" s="1"/>
      <c r="D30" s="39" t="s">
        <v>108</v>
      </c>
      <c r="E30" s="42"/>
      <c r="F30" s="339"/>
      <c r="G30" s="324"/>
      <c r="H30" s="24"/>
      <c r="I30" s="24"/>
      <c r="J30" s="24"/>
      <c r="K30" s="24"/>
    </row>
    <row r="31" spans="1:11" s="2" customFormat="1" ht="18" customHeight="1" x14ac:dyDescent="0.3">
      <c r="A31" s="342"/>
      <c r="B31" s="1"/>
      <c r="C31" s="1"/>
      <c r="D31" s="39" t="s">
        <v>109</v>
      </c>
      <c r="E31" s="42"/>
      <c r="F31" s="339"/>
      <c r="G31" s="324"/>
      <c r="H31" s="24"/>
      <c r="I31" s="24"/>
      <c r="J31" s="24"/>
      <c r="K31" s="24"/>
    </row>
    <row r="32" spans="1:11" s="2" customFormat="1" ht="18" customHeight="1" x14ac:dyDescent="0.3">
      <c r="A32" s="342"/>
      <c r="B32" s="1"/>
      <c r="C32" s="1"/>
      <c r="D32" s="39" t="s">
        <v>110</v>
      </c>
      <c r="E32" s="42"/>
      <c r="F32" s="339"/>
      <c r="G32" s="324"/>
      <c r="H32" s="24"/>
      <c r="I32" s="24"/>
      <c r="J32" s="24"/>
      <c r="K32" s="24"/>
    </row>
    <row r="33" spans="1:11" s="2" customFormat="1" ht="18" customHeight="1" x14ac:dyDescent="0.3">
      <c r="A33" s="342"/>
      <c r="B33" s="41"/>
      <c r="C33" s="41"/>
      <c r="D33" s="29" t="s">
        <v>103</v>
      </c>
      <c r="E33" s="52"/>
      <c r="F33" s="339"/>
      <c r="G33" s="324"/>
      <c r="H33" s="24"/>
      <c r="I33" s="24"/>
      <c r="J33" s="24"/>
      <c r="K33" s="24"/>
    </row>
    <row r="34" spans="1:11" s="2" customFormat="1" ht="18" customHeight="1" x14ac:dyDescent="0.3">
      <c r="A34" s="342"/>
      <c r="B34" s="50"/>
      <c r="C34" s="50"/>
      <c r="D34" s="40" t="s">
        <v>112</v>
      </c>
      <c r="E34" s="51"/>
      <c r="F34" s="339"/>
      <c r="G34" s="324"/>
      <c r="H34" s="24"/>
      <c r="I34" s="24"/>
      <c r="J34" s="24"/>
      <c r="K34" s="24"/>
    </row>
    <row r="35" spans="1:11" s="2" customFormat="1" ht="18" customHeight="1" x14ac:dyDescent="0.3">
      <c r="A35" s="342"/>
      <c r="B35" s="1"/>
      <c r="C35" s="1"/>
      <c r="D35" s="39" t="s">
        <v>113</v>
      </c>
      <c r="E35" s="42"/>
      <c r="F35" s="339"/>
      <c r="G35" s="324"/>
      <c r="H35" s="24"/>
      <c r="I35" s="24"/>
      <c r="J35" s="24"/>
      <c r="K35" s="24"/>
    </row>
    <row r="36" spans="1:11" s="2" customFormat="1" ht="18" customHeight="1" x14ac:dyDescent="0.3">
      <c r="A36" s="342"/>
      <c r="B36" s="1"/>
      <c r="C36" s="1"/>
      <c r="D36" s="39" t="s">
        <v>114</v>
      </c>
      <c r="E36" s="42"/>
      <c r="F36" s="339"/>
      <c r="G36" s="324"/>
      <c r="H36" s="24"/>
      <c r="I36" s="24"/>
      <c r="J36" s="24"/>
      <c r="K36" s="24"/>
    </row>
    <row r="37" spans="1:11" s="2" customFormat="1" ht="18" customHeight="1" x14ac:dyDescent="0.3">
      <c r="A37" s="342"/>
      <c r="B37" s="41"/>
      <c r="C37" s="41"/>
      <c r="D37" s="29" t="s">
        <v>115</v>
      </c>
      <c r="E37" s="52"/>
      <c r="F37" s="339"/>
      <c r="G37" s="324"/>
      <c r="H37" s="24"/>
      <c r="I37" s="24"/>
      <c r="J37" s="24"/>
      <c r="K37" s="24"/>
    </row>
    <row r="38" spans="1:11" s="2" customFormat="1" ht="18" customHeight="1" x14ac:dyDescent="0.3">
      <c r="A38" s="342"/>
      <c r="B38" s="50"/>
      <c r="C38" s="50"/>
      <c r="D38" s="40" t="s">
        <v>117</v>
      </c>
      <c r="E38" s="51"/>
      <c r="F38" s="339"/>
      <c r="G38" s="324"/>
      <c r="H38" s="24"/>
      <c r="I38" s="24"/>
      <c r="J38" s="24"/>
      <c r="K38" s="24"/>
    </row>
    <row r="39" spans="1:11" s="2" customFormat="1" ht="18" customHeight="1" x14ac:dyDescent="0.3">
      <c r="A39" s="342"/>
      <c r="B39" s="1"/>
      <c r="C39" s="1"/>
      <c r="D39" s="39" t="s">
        <v>118</v>
      </c>
      <c r="E39" s="42"/>
      <c r="F39" s="339"/>
      <c r="G39" s="324"/>
      <c r="H39" s="24"/>
      <c r="I39" s="24"/>
      <c r="J39" s="24"/>
      <c r="K39" s="24"/>
    </row>
    <row r="40" spans="1:11" s="2" customFormat="1" ht="18" customHeight="1" x14ac:dyDescent="0.3">
      <c r="A40" s="342"/>
      <c r="B40" s="41"/>
      <c r="C40" s="41"/>
      <c r="D40" s="29" t="s">
        <v>119</v>
      </c>
      <c r="E40" s="52"/>
      <c r="F40" s="339"/>
      <c r="G40" s="324"/>
      <c r="H40" s="24"/>
      <c r="I40" s="24"/>
      <c r="J40" s="24"/>
      <c r="K40" s="24"/>
    </row>
    <row r="41" spans="1:11" s="2" customFormat="1" ht="18" customHeight="1" x14ac:dyDescent="0.3">
      <c r="A41" s="342"/>
      <c r="B41" s="50"/>
      <c r="C41" s="50"/>
      <c r="D41" s="40" t="s">
        <v>121</v>
      </c>
      <c r="E41" s="51"/>
      <c r="F41" s="339"/>
      <c r="G41" s="324"/>
      <c r="H41" s="24"/>
      <c r="I41" s="24"/>
      <c r="J41" s="24"/>
      <c r="K41" s="24"/>
    </row>
    <row r="42" spans="1:11" s="2" customFormat="1" ht="18" customHeight="1" x14ac:dyDescent="0.3">
      <c r="A42" s="342"/>
      <c r="B42" s="41"/>
      <c r="C42" s="41"/>
      <c r="D42" s="29" t="s">
        <v>122</v>
      </c>
      <c r="E42" s="52"/>
      <c r="F42" s="339"/>
      <c r="G42" s="324"/>
      <c r="H42" s="24"/>
      <c r="I42" s="24"/>
      <c r="J42" s="24"/>
      <c r="K42" s="24"/>
    </row>
    <row r="43" spans="1:11" s="2" customFormat="1" ht="18" customHeight="1" x14ac:dyDescent="0.3">
      <c r="A43" s="342"/>
      <c r="B43" s="50"/>
      <c r="C43" s="50"/>
      <c r="D43" s="40" t="s">
        <v>124</v>
      </c>
      <c r="E43" s="51"/>
      <c r="F43" s="339"/>
      <c r="G43" s="324"/>
      <c r="H43" s="24"/>
      <c r="I43" s="24"/>
      <c r="J43" s="24"/>
      <c r="K43" s="24"/>
    </row>
    <row r="44" spans="1:11" s="2" customFormat="1" ht="18" customHeight="1" x14ac:dyDescent="0.3">
      <c r="A44" s="342"/>
      <c r="B44" s="1"/>
      <c r="C44" s="1"/>
      <c r="D44" s="39" t="s">
        <v>125</v>
      </c>
      <c r="E44" s="42"/>
      <c r="F44" s="339"/>
      <c r="G44" s="324"/>
      <c r="H44" s="24"/>
      <c r="I44" s="24"/>
      <c r="J44" s="24"/>
      <c r="K44" s="24"/>
    </row>
    <row r="45" spans="1:11" s="2" customFormat="1" ht="18" customHeight="1" x14ac:dyDescent="0.3">
      <c r="A45" s="342"/>
      <c r="B45" s="1"/>
      <c r="C45" s="1"/>
      <c r="D45" s="39" t="s">
        <v>126</v>
      </c>
      <c r="E45" s="42"/>
      <c r="F45" s="339"/>
      <c r="G45" s="324"/>
      <c r="H45" s="24"/>
      <c r="I45" s="24"/>
      <c r="J45"/>
      <c r="K45"/>
    </row>
    <row r="46" spans="1:11" s="2" customFormat="1" ht="18" customHeight="1" x14ac:dyDescent="0.3">
      <c r="A46" s="342"/>
      <c r="B46" s="41"/>
      <c r="C46" s="41"/>
      <c r="D46" s="29" t="s">
        <v>127</v>
      </c>
      <c r="E46" s="52"/>
      <c r="F46" s="339"/>
      <c r="G46" s="324"/>
      <c r="H46" s="24"/>
      <c r="I46" s="24"/>
      <c r="J46"/>
      <c r="K46"/>
    </row>
    <row r="47" spans="1:11" s="2" customFormat="1" ht="18" customHeight="1" x14ac:dyDescent="0.3">
      <c r="A47" s="342"/>
      <c r="B47" s="39"/>
      <c r="C47" s="39"/>
      <c r="D47" s="39"/>
      <c r="E47" s="42"/>
      <c r="F47" s="339"/>
      <c r="G47" s="324"/>
      <c r="H47" s="24"/>
      <c r="I47" s="24"/>
      <c r="J47"/>
      <c r="K47"/>
    </row>
    <row r="48" spans="1:11" s="2" customFormat="1" ht="18" customHeight="1" thickBot="1" x14ac:dyDescent="0.35">
      <c r="A48" s="342"/>
      <c r="B48" s="43"/>
      <c r="C48" s="43"/>
      <c r="D48" s="43"/>
      <c r="E48" s="44"/>
      <c r="F48" s="339"/>
      <c r="G48" s="324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G2">
      <formula1>$G$3:$G$20</formula1>
    </dataValidation>
    <dataValidation type="list" allowBlank="1" showInputMessage="1" showErrorMessage="1" sqref="F2">
      <formula1>$F$3:$F$16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>
      <selection activeCell="C2" sqref="C2"/>
    </sheetView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9" max="20" width="0" hidden="1" customWidth="1"/>
    <col min="21" max="21" width="16.33203125" hidden="1" customWidth="1"/>
    <col min="22" max="24" width="0" hidden="1" customWidth="1"/>
  </cols>
  <sheetData>
    <row r="1" spans="1:24" s="3" customFormat="1" ht="204" customHeight="1" thickBot="1" x14ac:dyDescent="0.35">
      <c r="A1" s="292" t="s">
        <v>268</v>
      </c>
      <c r="B1" s="293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4">
      <c r="A2" s="425" t="s">
        <v>7</v>
      </c>
      <c r="B2" s="62" t="s">
        <v>4</v>
      </c>
      <c r="C2" s="270"/>
      <c r="D2" s="362"/>
      <c r="E2" s="271"/>
      <c r="F2" s="271"/>
      <c r="G2" s="272"/>
      <c r="H2" s="356"/>
      <c r="I2" s="356"/>
      <c r="J2" s="357"/>
      <c r="K2" s="273"/>
      <c r="L2" s="273"/>
      <c r="M2" s="274"/>
      <c r="S2" s="2"/>
      <c r="U2" s="2"/>
      <c r="V2" s="2"/>
      <c r="W2" s="2"/>
    </row>
    <row r="3" spans="1:24" s="3" customFormat="1" ht="48.75" customHeight="1" x14ac:dyDescent="0.4">
      <c r="A3" s="425"/>
      <c r="B3" s="57" t="s">
        <v>4</v>
      </c>
      <c r="C3" s="275"/>
      <c r="D3" s="363"/>
      <c r="E3" s="276"/>
      <c r="F3" s="276"/>
      <c r="G3" s="277"/>
      <c r="H3" s="358"/>
      <c r="I3" s="358"/>
      <c r="J3" s="359"/>
      <c r="K3" s="278"/>
      <c r="L3" s="273"/>
      <c r="M3" s="279"/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4">
      <c r="A4" s="425"/>
      <c r="B4" s="57" t="s">
        <v>4</v>
      </c>
      <c r="C4" s="275"/>
      <c r="D4" s="363"/>
      <c r="E4" s="276"/>
      <c r="F4" s="276"/>
      <c r="G4" s="277"/>
      <c r="H4" s="358"/>
      <c r="I4" s="358"/>
      <c r="J4" s="359"/>
      <c r="K4" s="278"/>
      <c r="L4" s="273"/>
      <c r="M4" s="279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4">
      <c r="A5" s="425"/>
      <c r="B5" s="57" t="s">
        <v>8</v>
      </c>
      <c r="C5" s="275"/>
      <c r="D5" s="363"/>
      <c r="E5" s="276"/>
      <c r="F5" s="276"/>
      <c r="G5" s="277"/>
      <c r="H5" s="358"/>
      <c r="I5" s="358"/>
      <c r="J5" s="359"/>
      <c r="K5" s="278"/>
      <c r="L5" s="273"/>
      <c r="M5" s="279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4">
      <c r="A6" s="425"/>
      <c r="B6" s="57" t="s">
        <v>8</v>
      </c>
      <c r="C6" s="275"/>
      <c r="D6" s="363"/>
      <c r="E6" s="276"/>
      <c r="F6" s="276"/>
      <c r="G6" s="277"/>
      <c r="H6" s="358"/>
      <c r="I6" s="358"/>
      <c r="J6" s="359"/>
      <c r="K6" s="278"/>
      <c r="L6" s="273"/>
      <c r="M6" s="279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4">
      <c r="A7" s="425"/>
      <c r="B7" s="57" t="s">
        <v>9</v>
      </c>
      <c r="C7" s="275"/>
      <c r="D7" s="363"/>
      <c r="E7" s="276"/>
      <c r="F7" s="276"/>
      <c r="G7" s="277"/>
      <c r="H7" s="358"/>
      <c r="I7" s="358"/>
      <c r="J7" s="359"/>
      <c r="K7" s="278"/>
      <c r="L7" s="273"/>
      <c r="M7" s="279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4">
      <c r="A8" s="425"/>
      <c r="B8" s="57" t="s">
        <v>9</v>
      </c>
      <c r="C8" s="275"/>
      <c r="D8" s="363"/>
      <c r="E8" s="276"/>
      <c r="F8" s="276"/>
      <c r="G8" s="277"/>
      <c r="H8" s="358"/>
      <c r="I8" s="358"/>
      <c r="J8" s="359"/>
      <c r="K8" s="278"/>
      <c r="L8" s="273"/>
      <c r="M8" s="279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4">
      <c r="A9" s="425"/>
      <c r="B9" s="57" t="s">
        <v>267</v>
      </c>
      <c r="C9" s="275"/>
      <c r="D9" s="363"/>
      <c r="E9" s="276"/>
      <c r="F9" s="276"/>
      <c r="G9" s="277"/>
      <c r="H9" s="358"/>
      <c r="I9" s="358"/>
      <c r="J9" s="359"/>
      <c r="K9" s="278"/>
      <c r="L9" s="273"/>
      <c r="M9" s="279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4">
      <c r="A10" s="425"/>
      <c r="B10" s="57" t="s">
        <v>267</v>
      </c>
      <c r="C10" s="275"/>
      <c r="D10" s="363"/>
      <c r="E10" s="276"/>
      <c r="F10" s="280"/>
      <c r="G10" s="281"/>
      <c r="H10" s="350"/>
      <c r="I10" s="350"/>
      <c r="J10" s="359"/>
      <c r="K10" s="278"/>
      <c r="L10" s="273"/>
      <c r="M10" s="282"/>
      <c r="S10" s="2" t="s">
        <v>673</v>
      </c>
    </row>
    <row r="11" spans="1:24" s="2" customFormat="1" ht="48.75" customHeight="1" thickBot="1" x14ac:dyDescent="0.45">
      <c r="A11" s="426"/>
      <c r="B11" s="58" t="s">
        <v>42</v>
      </c>
      <c r="C11" s="224"/>
      <c r="D11" s="364"/>
      <c r="E11" s="283"/>
      <c r="F11" s="284"/>
      <c r="G11" s="285"/>
      <c r="H11" s="360"/>
      <c r="I11" s="360"/>
      <c r="J11" s="361"/>
      <c r="K11" s="286"/>
      <c r="L11" s="273"/>
      <c r="M11" s="287"/>
      <c r="S11" s="2" t="s">
        <v>674</v>
      </c>
    </row>
    <row r="12" spans="1:24" x14ac:dyDescent="0.3">
      <c r="S12" s="2" t="s">
        <v>675</v>
      </c>
    </row>
    <row r="13" spans="1:24" x14ac:dyDescent="0.3">
      <c r="S13" s="2" t="s">
        <v>676</v>
      </c>
    </row>
    <row r="14" spans="1:24" x14ac:dyDescent="0.3">
      <c r="S14" s="2" t="s">
        <v>677</v>
      </c>
    </row>
    <row r="15" spans="1:24" x14ac:dyDescent="0.3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2</xdr:col>
                <xdr:colOff>15240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N20"/>
  <sheetViews>
    <sheetView view="pageBreakPreview" zoomScale="40" zoomScaleNormal="100" zoomScaleSheetLayoutView="40" zoomScalePageLayoutView="55" workbookViewId="0">
      <selection activeCell="B2" sqref="B2:S2"/>
    </sheetView>
  </sheetViews>
  <sheetFormatPr defaultRowHeight="14.4" x14ac:dyDescent="0.3"/>
  <cols>
    <col min="1" max="1" width="12.33203125" customWidth="1"/>
    <col min="2" max="3" width="19.44140625" customWidth="1"/>
    <col min="4" max="4" width="33.6640625" customWidth="1"/>
    <col min="5" max="5" width="58.88671875" customWidth="1"/>
    <col min="6" max="6" width="23.109375" customWidth="1"/>
    <col min="7" max="7" width="20" customWidth="1"/>
    <col min="8" max="8" width="14.6640625" customWidth="1"/>
    <col min="9" max="9" width="23.88671875" customWidth="1"/>
    <col min="10" max="11" width="20" customWidth="1"/>
    <col min="12" max="12" width="12.6640625" customWidth="1"/>
    <col min="13" max="13" width="28.5546875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19" width="30.5546875" customWidth="1"/>
    <col min="25" max="25" width="9.109375" customWidth="1"/>
    <col min="26" max="40" width="9.109375" hidden="1" customWidth="1"/>
  </cols>
  <sheetData>
    <row r="1" spans="1:40" s="3" customFormat="1" ht="327.75" customHeight="1" thickBot="1" x14ac:dyDescent="0.35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5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7" t="s">
        <v>609</v>
      </c>
    </row>
    <row r="2" spans="1:40" s="2" customFormat="1" ht="39" customHeight="1" thickBot="1" x14ac:dyDescent="0.5">
      <c r="A2" s="427" t="s">
        <v>3</v>
      </c>
      <c r="B2" s="371"/>
      <c r="C2" s="371"/>
      <c r="D2" s="243"/>
      <c r="E2" s="372"/>
      <c r="F2" s="244"/>
      <c r="G2" s="245"/>
      <c r="H2" s="246"/>
      <c r="I2" s="381"/>
      <c r="J2" s="381"/>
      <c r="K2" s="246"/>
      <c r="L2" s="376"/>
      <c r="M2" s="376"/>
      <c r="N2" s="247"/>
      <c r="O2" s="247"/>
      <c r="P2" s="247"/>
      <c r="Q2" s="247"/>
      <c r="R2" s="376"/>
      <c r="S2" s="380"/>
    </row>
    <row r="3" spans="1:40" s="2" customFormat="1" ht="39" customHeight="1" thickBot="1" x14ac:dyDescent="0.5">
      <c r="A3" s="428"/>
      <c r="B3" s="368"/>
      <c r="C3" s="368"/>
      <c r="D3" s="248"/>
      <c r="E3" s="373"/>
      <c r="F3" s="249"/>
      <c r="G3" s="250"/>
      <c r="H3" s="251"/>
      <c r="I3" s="382"/>
      <c r="J3" s="382"/>
      <c r="K3" s="251"/>
      <c r="L3" s="377"/>
      <c r="M3" s="377"/>
      <c r="N3" s="252"/>
      <c r="O3" s="252"/>
      <c r="P3" s="252"/>
      <c r="Q3" s="252"/>
      <c r="R3" s="376"/>
      <c r="S3" s="380"/>
      <c r="Z3" s="2" t="s">
        <v>630</v>
      </c>
      <c r="AA3" s="2" t="s">
        <v>679</v>
      </c>
      <c r="AC3" s="2" t="s">
        <v>666</v>
      </c>
      <c r="AE3" s="2" t="s">
        <v>621</v>
      </c>
      <c r="AG3" s="2" t="s">
        <v>685</v>
      </c>
      <c r="AI3" s="2" t="s">
        <v>664</v>
      </c>
      <c r="AJ3" s="2" t="s">
        <v>607</v>
      </c>
      <c r="AL3" s="2" t="s">
        <v>610</v>
      </c>
      <c r="AN3" s="2" t="s">
        <v>690</v>
      </c>
    </row>
    <row r="4" spans="1:40" s="2" customFormat="1" ht="39" customHeight="1" thickBot="1" x14ac:dyDescent="0.5">
      <c r="A4" s="428"/>
      <c r="B4" s="368"/>
      <c r="C4" s="368"/>
      <c r="D4" s="248"/>
      <c r="E4" s="373"/>
      <c r="F4" s="249"/>
      <c r="G4" s="250"/>
      <c r="H4" s="251"/>
      <c r="I4" s="382"/>
      <c r="J4" s="382"/>
      <c r="K4" s="251"/>
      <c r="L4" s="377"/>
      <c r="M4" s="377"/>
      <c r="N4" s="252"/>
      <c r="O4" s="252"/>
      <c r="P4" s="252"/>
      <c r="Q4" s="252"/>
      <c r="R4" s="376"/>
      <c r="S4" s="380"/>
      <c r="Z4" s="2" t="s">
        <v>573</v>
      </c>
      <c r="AA4" s="2" t="s">
        <v>680</v>
      </c>
      <c r="AC4" s="2" t="s">
        <v>667</v>
      </c>
      <c r="AE4" s="2" t="s">
        <v>305</v>
      </c>
      <c r="AG4" s="2" t="s">
        <v>686</v>
      </c>
      <c r="AI4" s="2" t="s">
        <v>665</v>
      </c>
      <c r="AJ4" s="2" t="s">
        <v>608</v>
      </c>
      <c r="AL4" s="2" t="s">
        <v>611</v>
      </c>
      <c r="AN4" s="2" t="s">
        <v>691</v>
      </c>
    </row>
    <row r="5" spans="1:40" s="2" customFormat="1" ht="39" customHeight="1" thickBot="1" x14ac:dyDescent="0.5">
      <c r="A5" s="428"/>
      <c r="B5" s="368"/>
      <c r="C5" s="368"/>
      <c r="D5" s="248"/>
      <c r="E5" s="373"/>
      <c r="F5" s="249"/>
      <c r="G5" s="250"/>
      <c r="H5" s="251"/>
      <c r="I5" s="382"/>
      <c r="J5" s="382"/>
      <c r="K5" s="251"/>
      <c r="L5" s="377"/>
      <c r="M5" s="377"/>
      <c r="N5" s="252"/>
      <c r="O5" s="252"/>
      <c r="P5" s="252"/>
      <c r="Q5" s="252"/>
      <c r="R5" s="376"/>
      <c r="S5" s="380"/>
      <c r="Z5" s="2" t="s">
        <v>694</v>
      </c>
      <c r="AA5" s="2" t="s">
        <v>681</v>
      </c>
      <c r="AC5" s="2" t="s">
        <v>668</v>
      </c>
      <c r="AE5" s="2" t="s">
        <v>618</v>
      </c>
      <c r="AG5" s="2" t="s">
        <v>687</v>
      </c>
      <c r="AL5" s="2" t="s">
        <v>612</v>
      </c>
      <c r="AN5" s="2" t="s">
        <v>692</v>
      </c>
    </row>
    <row r="6" spans="1:40" s="2" customFormat="1" ht="39" customHeight="1" thickBot="1" x14ac:dyDescent="0.5">
      <c r="A6" s="428"/>
      <c r="B6" s="368"/>
      <c r="C6" s="368"/>
      <c r="D6" s="248"/>
      <c r="E6" s="373"/>
      <c r="F6" s="249"/>
      <c r="G6" s="250"/>
      <c r="H6" s="251"/>
      <c r="I6" s="382"/>
      <c r="J6" s="382"/>
      <c r="K6" s="251"/>
      <c r="L6" s="377"/>
      <c r="M6" s="377"/>
      <c r="N6" s="252"/>
      <c r="O6" s="252"/>
      <c r="P6" s="252"/>
      <c r="Q6" s="252"/>
      <c r="R6" s="376"/>
      <c r="S6" s="380"/>
      <c r="Z6" s="2" t="s">
        <v>695</v>
      </c>
      <c r="AA6" s="2" t="s">
        <v>682</v>
      </c>
      <c r="AC6" s="2" t="s">
        <v>669</v>
      </c>
      <c r="AE6" s="2" t="s">
        <v>619</v>
      </c>
      <c r="AG6" s="2" t="s">
        <v>688</v>
      </c>
      <c r="AL6" s="2" t="s">
        <v>613</v>
      </c>
      <c r="AN6" s="2" t="s">
        <v>693</v>
      </c>
    </row>
    <row r="7" spans="1:40" s="2" customFormat="1" ht="39" customHeight="1" thickBot="1" x14ac:dyDescent="0.5">
      <c r="A7" s="428"/>
      <c r="B7" s="368"/>
      <c r="C7" s="368"/>
      <c r="D7" s="248"/>
      <c r="E7" s="373"/>
      <c r="F7" s="249"/>
      <c r="G7" s="250"/>
      <c r="H7" s="251"/>
      <c r="I7" s="382"/>
      <c r="J7" s="382"/>
      <c r="K7" s="251"/>
      <c r="L7" s="377"/>
      <c r="M7" s="377"/>
      <c r="N7" s="252"/>
      <c r="O7" s="252"/>
      <c r="P7" s="252"/>
      <c r="Q7" s="252"/>
      <c r="R7" s="376"/>
      <c r="S7" s="380"/>
      <c r="Z7" s="2" t="s">
        <v>696</v>
      </c>
      <c r="AA7" s="2" t="s">
        <v>683</v>
      </c>
      <c r="AC7" s="2" t="s">
        <v>670</v>
      </c>
      <c r="AE7" s="2" t="s">
        <v>620</v>
      </c>
      <c r="AG7" s="2" t="s">
        <v>689</v>
      </c>
      <c r="AL7" s="2" t="s">
        <v>614</v>
      </c>
    </row>
    <row r="8" spans="1:40" s="2" customFormat="1" ht="39" customHeight="1" thickBot="1" x14ac:dyDescent="0.5">
      <c r="A8" s="428"/>
      <c r="B8" s="368"/>
      <c r="C8" s="368"/>
      <c r="D8" s="248"/>
      <c r="E8" s="373"/>
      <c r="F8" s="249"/>
      <c r="G8" s="250"/>
      <c r="H8" s="251"/>
      <c r="I8" s="382"/>
      <c r="J8" s="382"/>
      <c r="K8" s="251"/>
      <c r="L8" s="377"/>
      <c r="M8" s="377"/>
      <c r="N8" s="252"/>
      <c r="O8" s="252"/>
      <c r="P8" s="252"/>
      <c r="Q8" s="252"/>
      <c r="R8" s="376"/>
      <c r="S8" s="380"/>
      <c r="Z8" s="2" t="s">
        <v>697</v>
      </c>
      <c r="AA8" s="2" t="s">
        <v>704</v>
      </c>
      <c r="AC8" s="2" t="s">
        <v>671</v>
      </c>
      <c r="AG8" s="2" t="s">
        <v>733</v>
      </c>
      <c r="AL8" s="2" t="s">
        <v>615</v>
      </c>
    </row>
    <row r="9" spans="1:40" s="2" customFormat="1" ht="39" customHeight="1" thickBot="1" x14ac:dyDescent="0.5">
      <c r="A9" s="428"/>
      <c r="B9" s="368"/>
      <c r="C9" s="368"/>
      <c r="D9" s="248"/>
      <c r="E9" s="373"/>
      <c r="F9" s="249"/>
      <c r="G9" s="250"/>
      <c r="H9" s="251"/>
      <c r="I9" s="382"/>
      <c r="J9" s="382"/>
      <c r="K9" s="251"/>
      <c r="L9" s="377"/>
      <c r="M9" s="377"/>
      <c r="N9" s="252"/>
      <c r="O9" s="252"/>
      <c r="P9" s="252"/>
      <c r="Q9" s="252"/>
      <c r="R9" s="376"/>
      <c r="S9" s="380"/>
      <c r="Z9" s="2" t="s">
        <v>698</v>
      </c>
      <c r="AA9" s="2" t="s">
        <v>684</v>
      </c>
      <c r="AC9" s="2" t="s">
        <v>672</v>
      </c>
      <c r="AL9" s="2" t="s">
        <v>616</v>
      </c>
    </row>
    <row r="10" spans="1:40" s="2" customFormat="1" ht="39" customHeight="1" thickBot="1" x14ac:dyDescent="0.5">
      <c r="A10" s="428"/>
      <c r="B10" s="368"/>
      <c r="C10" s="368"/>
      <c r="D10" s="248"/>
      <c r="E10" s="373"/>
      <c r="F10" s="249"/>
      <c r="G10" s="250"/>
      <c r="H10" s="251"/>
      <c r="I10" s="382"/>
      <c r="J10" s="382"/>
      <c r="K10" s="251"/>
      <c r="L10" s="377"/>
      <c r="M10" s="377"/>
      <c r="N10" s="252"/>
      <c r="O10" s="252"/>
      <c r="P10" s="252"/>
      <c r="Q10" s="252"/>
      <c r="R10" s="376"/>
      <c r="S10" s="380"/>
      <c r="AC10" s="2" t="s">
        <v>673</v>
      </c>
      <c r="AL10" s="2" t="s">
        <v>617</v>
      </c>
    </row>
    <row r="11" spans="1:40" s="2" customFormat="1" ht="39" customHeight="1" thickBot="1" x14ac:dyDescent="0.5">
      <c r="A11" s="428"/>
      <c r="B11" s="368"/>
      <c r="C11" s="368"/>
      <c r="D11" s="248"/>
      <c r="E11" s="373"/>
      <c r="F11" s="249"/>
      <c r="G11" s="250"/>
      <c r="H11" s="251"/>
      <c r="I11" s="382"/>
      <c r="J11" s="382"/>
      <c r="K11" s="251"/>
      <c r="L11" s="377"/>
      <c r="M11" s="377"/>
      <c r="N11" s="252"/>
      <c r="O11" s="252"/>
      <c r="P11" s="252"/>
      <c r="Q11" s="252"/>
      <c r="R11" s="376"/>
      <c r="S11" s="380"/>
      <c r="AC11" s="2" t="s">
        <v>674</v>
      </c>
    </row>
    <row r="12" spans="1:40" s="2" customFormat="1" ht="39" customHeight="1" thickBot="1" x14ac:dyDescent="0.5">
      <c r="A12" s="428"/>
      <c r="B12" s="368"/>
      <c r="C12" s="368"/>
      <c r="D12" s="248"/>
      <c r="E12" s="373"/>
      <c r="F12" s="249"/>
      <c r="G12" s="250"/>
      <c r="H12" s="251"/>
      <c r="I12" s="382"/>
      <c r="J12" s="382"/>
      <c r="K12" s="251"/>
      <c r="L12" s="377"/>
      <c r="M12" s="377"/>
      <c r="N12" s="252"/>
      <c r="O12" s="252"/>
      <c r="P12" s="252"/>
      <c r="Q12" s="252"/>
      <c r="R12" s="376"/>
      <c r="S12" s="380"/>
      <c r="AC12" s="2" t="s">
        <v>675</v>
      </c>
    </row>
    <row r="13" spans="1:40" s="2" customFormat="1" ht="39" customHeight="1" thickBot="1" x14ac:dyDescent="0.5">
      <c r="A13" s="428"/>
      <c r="B13" s="368"/>
      <c r="C13" s="368"/>
      <c r="D13" s="248"/>
      <c r="E13" s="373"/>
      <c r="F13" s="249"/>
      <c r="G13" s="250"/>
      <c r="H13" s="251"/>
      <c r="I13" s="382"/>
      <c r="J13" s="382"/>
      <c r="K13" s="251"/>
      <c r="L13" s="377"/>
      <c r="M13" s="377"/>
      <c r="N13" s="252"/>
      <c r="O13" s="252"/>
      <c r="P13" s="252"/>
      <c r="Q13" s="252"/>
      <c r="R13" s="376"/>
      <c r="S13" s="380"/>
      <c r="AC13" s="2" t="s">
        <v>676</v>
      </c>
    </row>
    <row r="14" spans="1:40" s="2" customFormat="1" ht="39" customHeight="1" thickBot="1" x14ac:dyDescent="0.5">
      <c r="A14" s="429" t="s">
        <v>6</v>
      </c>
      <c r="B14" s="223" t="s">
        <v>625</v>
      </c>
      <c r="C14" s="369"/>
      <c r="D14" s="243"/>
      <c r="E14" s="372"/>
      <c r="F14" s="253"/>
      <c r="G14" s="254"/>
      <c r="H14" s="255"/>
      <c r="I14" s="381"/>
      <c r="J14" s="382"/>
      <c r="K14" s="255"/>
      <c r="L14" s="376"/>
      <c r="M14" s="376"/>
      <c r="N14" s="247"/>
      <c r="O14" s="247"/>
      <c r="P14" s="247"/>
      <c r="Q14" s="247"/>
      <c r="R14" s="376"/>
      <c r="S14" s="380"/>
      <c r="AC14" s="2" t="s">
        <v>677</v>
      </c>
    </row>
    <row r="15" spans="1:40" s="2" customFormat="1" ht="39" customHeight="1" thickBot="1" x14ac:dyDescent="0.5">
      <c r="A15" s="430"/>
      <c r="B15" s="224" t="s">
        <v>626</v>
      </c>
      <c r="C15" s="370"/>
      <c r="D15" s="256"/>
      <c r="E15" s="374"/>
      <c r="F15" s="257"/>
      <c r="G15" s="258"/>
      <c r="H15" s="259"/>
      <c r="I15" s="383"/>
      <c r="J15" s="383"/>
      <c r="K15" s="259"/>
      <c r="L15" s="378"/>
      <c r="M15" s="378"/>
      <c r="N15" s="260"/>
      <c r="O15" s="260"/>
      <c r="P15" s="260"/>
      <c r="Q15" s="260"/>
      <c r="R15" s="376"/>
      <c r="S15" s="380"/>
      <c r="AC15" s="2" t="s">
        <v>678</v>
      </c>
    </row>
    <row r="16" spans="1:40" s="2" customFormat="1" ht="51" customHeight="1" thickBot="1" x14ac:dyDescent="0.5">
      <c r="A16" s="225" t="s">
        <v>5</v>
      </c>
      <c r="B16" s="365"/>
      <c r="C16" s="365"/>
      <c r="D16" s="261"/>
      <c r="E16" s="375" t="s">
        <v>663</v>
      </c>
      <c r="F16" s="261"/>
      <c r="G16" s="261"/>
      <c r="H16" s="261"/>
      <c r="I16" s="375"/>
      <c r="J16" s="375"/>
      <c r="K16" s="261"/>
      <c r="L16" s="379"/>
      <c r="M16" s="379"/>
      <c r="N16" s="262"/>
      <c r="O16" s="262"/>
      <c r="P16" s="262"/>
      <c r="Q16" s="262"/>
      <c r="R16" s="376"/>
      <c r="S16" s="380"/>
    </row>
    <row r="17" spans="1:19" s="2" customFormat="1" ht="39" customHeight="1" thickBot="1" x14ac:dyDescent="0.5">
      <c r="A17" s="226" t="s">
        <v>1</v>
      </c>
      <c r="B17" s="366"/>
      <c r="C17" s="366"/>
      <c r="D17" s="263"/>
      <c r="E17" s="372"/>
      <c r="F17" s="264"/>
      <c r="G17" s="265"/>
      <c r="H17" s="253"/>
      <c r="I17" s="372"/>
      <c r="J17" s="372"/>
      <c r="K17" s="253"/>
      <c r="L17" s="376"/>
      <c r="M17" s="376"/>
      <c r="N17" s="247"/>
      <c r="O17" s="247"/>
      <c r="P17" s="247"/>
      <c r="Q17" s="247"/>
      <c r="R17" s="376"/>
      <c r="S17" s="380"/>
    </row>
    <row r="18" spans="1:19" s="2" customFormat="1" ht="39" customHeight="1" thickBot="1" x14ac:dyDescent="0.5">
      <c r="A18" s="64"/>
      <c r="B18" s="367"/>
      <c r="C18" s="367"/>
      <c r="D18" s="266"/>
      <c r="E18" s="374"/>
      <c r="F18" s="267"/>
      <c r="G18" s="268" t="s">
        <v>663</v>
      </c>
      <c r="H18" s="257"/>
      <c r="I18" s="374"/>
      <c r="J18" s="374"/>
      <c r="K18" s="257"/>
      <c r="L18" s="378"/>
      <c r="M18" s="378"/>
      <c r="N18" s="260"/>
      <c r="O18" s="260"/>
      <c r="P18" s="260"/>
      <c r="Q18" s="260"/>
      <c r="R18" s="376"/>
      <c r="S18" s="380"/>
    </row>
    <row r="19" spans="1:19" s="2" customFormat="1" ht="25.5" customHeight="1" x14ac:dyDescent="0.4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9"/>
      <c r="K19" s="294"/>
      <c r="L19" s="66"/>
      <c r="M19" s="66"/>
      <c r="N19" s="66"/>
      <c r="O19" s="66"/>
      <c r="P19" s="66"/>
      <c r="Q19" s="66"/>
      <c r="R19" s="66"/>
      <c r="S19" s="67"/>
    </row>
    <row r="20" spans="1:19" s="2" customFormat="1" ht="25.5" customHeight="1" thickBot="1" x14ac:dyDescent="0.35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</row>
  </sheetData>
  <mergeCells count="2">
    <mergeCell ref="A2:A13"/>
    <mergeCell ref="A14:A15"/>
  </mergeCells>
  <dataValidations count="11">
    <dataValidation type="list" allowBlank="1" showInputMessage="1" showErrorMessage="1" sqref="R3:R18">
      <formula1>$AJ$2:$AJ$4</formula1>
    </dataValidation>
    <dataValidation type="list" allowBlank="1" showInputMessage="1" showErrorMessage="1" sqref="S2:S18">
      <formula1>$AL$2:$AL$10</formula1>
    </dataValidation>
    <dataValidation type="list" allowBlank="1" showInputMessage="1" showErrorMessage="1" sqref="M2:M18">
      <formula1>$AE$2:$AE$7</formula1>
    </dataValidation>
    <dataValidation type="list" allowBlank="1" showInputMessage="1" showErrorMessage="1" sqref="E2:E18">
      <formula1>$AC$2:$AC$15</formula1>
    </dataValidation>
    <dataValidation type="list" allowBlank="1" showInputMessage="1" showErrorMessage="1" sqref="F2:F18">
      <formula1>$AA$2:$AA$9</formula1>
    </dataValidation>
    <dataValidation type="list" allowBlank="1" showInputMessage="1" showErrorMessage="1" sqref="G2:G18">
      <formula1>$AG$2:$AG$7</formula1>
    </dataValidation>
    <dataValidation type="list" allowBlank="1" showInputMessage="1" showErrorMessage="1" sqref="H2:H18">
      <formula1>$AN$2:$AN$6</formula1>
    </dataValidation>
    <dataValidation type="list" allowBlank="1" showInputMessage="1" showErrorMessage="1" sqref="N2:N18">
      <formula1>$Z$2:$Z$9</formula1>
    </dataValidation>
    <dataValidation type="list" allowBlank="1" showInputMessage="1" showErrorMessage="1" sqref="C3:C18 P2:Q18">
      <formula1>$AI$2:$AI$4</formula1>
    </dataValidation>
    <dataValidation type="list" allowBlank="1" showInputMessage="1" showErrorMessage="1" sqref="R2">
      <formula1>$AJ$2:$AJ$4</formula1>
    </dataValidation>
    <dataValidation type="list" allowBlank="1" showInputMessage="1" showErrorMessage="1" sqref="C2">
      <formula1>$AI$2:$AI$4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3</xdr:col>
                <xdr:colOff>960120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8671875" defaultRowHeight="15.6" x14ac:dyDescent="0.3"/>
  <cols>
    <col min="1" max="1" width="21.6640625" style="76" customWidth="1"/>
    <col min="2" max="2" width="64.44140625" style="76" customWidth="1"/>
    <col min="3" max="3" width="9.109375" style="76" customWidth="1"/>
    <col min="4" max="4" width="28.6640625" style="76" customWidth="1"/>
    <col min="5" max="5" width="18.33203125" style="76" customWidth="1"/>
    <col min="6" max="6" width="10.33203125" style="76" customWidth="1"/>
    <col min="7" max="7" width="15.6640625" style="76" customWidth="1"/>
    <col min="8" max="8" width="18.5546875" style="76" customWidth="1"/>
    <col min="9" max="9" width="16.33203125" style="76" customWidth="1"/>
    <col min="10" max="10" width="31.33203125" style="76" customWidth="1"/>
    <col min="11" max="11" width="26.6640625" style="76" customWidth="1"/>
    <col min="12" max="12" width="31.44140625" style="76" customWidth="1"/>
    <col min="13" max="13" width="11.33203125" style="76" customWidth="1"/>
    <col min="14" max="14" width="32.88671875" style="76" customWidth="1"/>
    <col min="15" max="16384" width="8.88671875" style="76"/>
  </cols>
  <sheetData>
    <row r="1" spans="1:14" ht="39.6" x14ac:dyDescent="0.3">
      <c r="A1" s="310" t="s">
        <v>326</v>
      </c>
      <c r="B1" s="311" t="s">
        <v>327</v>
      </c>
      <c r="C1" s="321" t="s">
        <v>460</v>
      </c>
      <c r="D1" s="320" t="s">
        <v>459</v>
      </c>
      <c r="E1" s="322" t="s">
        <v>461</v>
      </c>
      <c r="F1" s="322" t="s">
        <v>459</v>
      </c>
      <c r="G1" s="321" t="s">
        <v>462</v>
      </c>
      <c r="H1" s="321" t="s">
        <v>256</v>
      </c>
      <c r="I1" s="321" t="s">
        <v>463</v>
      </c>
      <c r="J1" s="321" t="s">
        <v>464</v>
      </c>
      <c r="K1" s="76" t="s">
        <v>585</v>
      </c>
    </row>
    <row r="2" spans="1:14" ht="20.399999999999999" x14ac:dyDescent="0.3">
      <c r="A2" s="310" t="s">
        <v>426</v>
      </c>
      <c r="B2" s="311" t="s">
        <v>328</v>
      </c>
      <c r="C2" s="312" t="e">
        <v>#N/A</v>
      </c>
      <c r="D2" s="311"/>
      <c r="E2" s="312"/>
      <c r="F2" s="312"/>
      <c r="G2" s="311"/>
      <c r="H2" s="313"/>
      <c r="I2" s="313"/>
      <c r="K2" s="335" t="s">
        <v>586</v>
      </c>
      <c r="N2" s="315"/>
    </row>
    <row r="3" spans="1:14" ht="20.399999999999999" x14ac:dyDescent="0.3">
      <c r="A3" s="310" t="s">
        <v>427</v>
      </c>
      <c r="B3" s="311" t="s">
        <v>331</v>
      </c>
      <c r="C3" s="312" t="e">
        <v>#N/A</v>
      </c>
      <c r="D3" s="311"/>
      <c r="E3" s="312"/>
      <c r="F3" s="312"/>
      <c r="G3" s="311"/>
      <c r="H3" s="313"/>
      <c r="I3" s="313"/>
      <c r="K3" s="335" t="s">
        <v>587</v>
      </c>
      <c r="N3" s="315"/>
    </row>
    <row r="4" spans="1:14" ht="20.399999999999999" x14ac:dyDescent="0.3">
      <c r="A4" s="310" t="s">
        <v>428</v>
      </c>
      <c r="B4" s="311" t="s">
        <v>334</v>
      </c>
      <c r="C4" s="312" t="e">
        <v>#N/A</v>
      </c>
      <c r="D4" s="311"/>
      <c r="E4" s="312"/>
      <c r="F4" s="312"/>
      <c r="G4" s="311"/>
      <c r="H4" s="313"/>
      <c r="I4" s="313"/>
      <c r="K4" s="335" t="s">
        <v>587</v>
      </c>
      <c r="N4" s="315"/>
    </row>
    <row r="5" spans="1:14" ht="20.399999999999999" x14ac:dyDescent="0.3">
      <c r="A5" s="310" t="s">
        <v>429</v>
      </c>
      <c r="B5" s="311" t="s">
        <v>337</v>
      </c>
      <c r="C5" s="312" t="e">
        <v>#N/A</v>
      </c>
      <c r="D5" s="311"/>
      <c r="E5" s="312"/>
      <c r="F5" s="312"/>
      <c r="G5" s="311"/>
      <c r="H5" s="313"/>
      <c r="I5" s="313"/>
      <c r="K5" s="335" t="s">
        <v>587</v>
      </c>
      <c r="N5" s="315"/>
    </row>
    <row r="6" spans="1:14" ht="20.399999999999999" x14ac:dyDescent="0.3">
      <c r="A6" s="310" t="s">
        <v>504</v>
      </c>
      <c r="B6" s="311" t="s">
        <v>340</v>
      </c>
      <c r="C6" s="312" t="e">
        <v>#N/A</v>
      </c>
      <c r="D6" s="311"/>
      <c r="E6" s="312"/>
      <c r="F6" s="312"/>
      <c r="G6" s="311"/>
      <c r="H6" s="313"/>
      <c r="I6" s="313"/>
      <c r="K6" s="335" t="s">
        <v>586</v>
      </c>
      <c r="N6" s="315"/>
    </row>
    <row r="7" spans="1:14" ht="20.399999999999999" x14ac:dyDescent="0.3">
      <c r="A7" s="310" t="s">
        <v>505</v>
      </c>
      <c r="B7" s="311" t="s">
        <v>343</v>
      </c>
      <c r="C7" s="312" t="e">
        <v>#N/A</v>
      </c>
      <c r="D7" s="311"/>
      <c r="E7" s="314"/>
      <c r="F7" s="314"/>
      <c r="G7" s="311"/>
      <c r="H7" s="313"/>
      <c r="I7" s="313"/>
      <c r="K7" s="335" t="s">
        <v>587</v>
      </c>
      <c r="N7" s="315"/>
    </row>
    <row r="8" spans="1:14" ht="20.399999999999999" x14ac:dyDescent="0.3">
      <c r="A8" s="310" t="s">
        <v>506</v>
      </c>
      <c r="B8" s="311" t="s">
        <v>346</v>
      </c>
      <c r="C8" s="312" t="e">
        <v>#N/A</v>
      </c>
      <c r="D8" s="311"/>
      <c r="G8" s="311"/>
      <c r="H8" s="313"/>
      <c r="I8" s="313"/>
      <c r="K8" s="335" t="s">
        <v>587</v>
      </c>
      <c r="N8" s="315"/>
    </row>
    <row r="9" spans="1:14" ht="20.399999999999999" x14ac:dyDescent="0.3">
      <c r="A9" s="310" t="s">
        <v>507</v>
      </c>
      <c r="B9" s="311" t="s">
        <v>348</v>
      </c>
      <c r="C9" s="312" t="e">
        <v>#N/A</v>
      </c>
      <c r="D9" s="311"/>
      <c r="E9" s="311"/>
      <c r="F9" s="312"/>
      <c r="G9" s="311"/>
      <c r="H9" s="313"/>
      <c r="I9" s="313"/>
      <c r="K9" s="335" t="s">
        <v>587</v>
      </c>
      <c r="N9" s="315"/>
    </row>
    <row r="10" spans="1:14" ht="20.399999999999999" x14ac:dyDescent="0.3">
      <c r="A10" s="310" t="s">
        <v>430</v>
      </c>
      <c r="B10" s="311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5" t="s">
        <v>588</v>
      </c>
      <c r="N10" s="315"/>
    </row>
    <row r="11" spans="1:14" ht="20.399999999999999" x14ac:dyDescent="0.3">
      <c r="A11" s="310" t="s">
        <v>650</v>
      </c>
      <c r="B11" s="311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5" t="s">
        <v>588</v>
      </c>
      <c r="N11" s="315"/>
    </row>
    <row r="12" spans="1:14" ht="20.399999999999999" x14ac:dyDescent="0.3">
      <c r="A12" s="310" t="s">
        <v>431</v>
      </c>
      <c r="B12" s="311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5" t="s">
        <v>589</v>
      </c>
      <c r="N12" s="315"/>
    </row>
    <row r="13" spans="1:14" ht="20.399999999999999" x14ac:dyDescent="0.3">
      <c r="A13" s="310" t="s">
        <v>432</v>
      </c>
      <c r="B13" s="311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5" t="s">
        <v>592</v>
      </c>
      <c r="N13" s="315"/>
    </row>
    <row r="14" spans="1:14" x14ac:dyDescent="0.3">
      <c r="A14" s="310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5"/>
    </row>
    <row r="15" spans="1:14" x14ac:dyDescent="0.3">
      <c r="A15" s="310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5"/>
    </row>
    <row r="16" spans="1:14" x14ac:dyDescent="0.3">
      <c r="A16" s="310" t="s">
        <v>518</v>
      </c>
      <c r="B16" s="303" t="s">
        <v>502</v>
      </c>
      <c r="C16" s="303" t="s">
        <v>503</v>
      </c>
      <c r="D16" s="303" t="s">
        <v>465</v>
      </c>
      <c r="E16" s="303" t="s">
        <v>455</v>
      </c>
      <c r="F16" s="303" t="s">
        <v>444</v>
      </c>
      <c r="G16" s="404" t="s">
        <v>728</v>
      </c>
      <c r="H16" s="404" t="s">
        <v>727</v>
      </c>
      <c r="I16" s="303" t="s">
        <v>447</v>
      </c>
      <c r="J16" s="303" t="s">
        <v>453</v>
      </c>
      <c r="N16" s="315"/>
    </row>
    <row r="17" spans="1:14" ht="20.399999999999999" x14ac:dyDescent="0.3">
      <c r="A17" s="310" t="s">
        <v>433</v>
      </c>
      <c r="B17" s="311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5" t="s">
        <v>728</v>
      </c>
      <c r="H17" s="405" t="s">
        <v>727</v>
      </c>
      <c r="I17" s="35" t="s">
        <v>447</v>
      </c>
      <c r="J17" s="35" t="s">
        <v>453</v>
      </c>
      <c r="K17" s="335" t="s">
        <v>592</v>
      </c>
      <c r="N17" s="315"/>
    </row>
    <row r="18" spans="1:14" ht="20.399999999999999" x14ac:dyDescent="0.3">
      <c r="A18" s="310" t="s">
        <v>649</v>
      </c>
      <c r="B18" s="311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5" t="s">
        <v>728</v>
      </c>
      <c r="H18" s="405" t="s">
        <v>727</v>
      </c>
      <c r="I18" s="35" t="s">
        <v>447</v>
      </c>
      <c r="J18" s="35" t="s">
        <v>453</v>
      </c>
      <c r="K18" s="335" t="s">
        <v>592</v>
      </c>
      <c r="N18" s="315"/>
    </row>
    <row r="19" spans="1:14" ht="20.399999999999999" x14ac:dyDescent="0.3">
      <c r="A19" s="310" t="s">
        <v>434</v>
      </c>
      <c r="B19" s="311" t="s">
        <v>358</v>
      </c>
      <c r="C19" s="311" t="e">
        <v>#N/A</v>
      </c>
      <c r="D19" s="311"/>
      <c r="E19" s="311"/>
      <c r="F19" s="311"/>
      <c r="G19" s="311"/>
      <c r="H19" s="313"/>
      <c r="I19" s="313"/>
      <c r="K19" s="335" t="s">
        <v>590</v>
      </c>
      <c r="N19" s="315"/>
    </row>
    <row r="20" spans="1:14" ht="20.399999999999999" x14ac:dyDescent="0.3">
      <c r="A20" s="310" t="s">
        <v>508</v>
      </c>
      <c r="B20" s="311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5" t="s">
        <v>588</v>
      </c>
      <c r="N20" s="315"/>
    </row>
    <row r="21" spans="1:14" ht="20.399999999999999" x14ac:dyDescent="0.3">
      <c r="A21" s="310" t="s">
        <v>509</v>
      </c>
      <c r="B21" s="311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5" t="s">
        <v>589</v>
      </c>
      <c r="N21" s="315"/>
    </row>
    <row r="22" spans="1:14" ht="20.399999999999999" x14ac:dyDescent="0.3">
      <c r="A22" s="310" t="s">
        <v>510</v>
      </c>
      <c r="B22" s="311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5" t="s">
        <v>592</v>
      </c>
      <c r="N22" s="315"/>
    </row>
    <row r="23" spans="1:14" ht="20.399999999999999" x14ac:dyDescent="0.3">
      <c r="A23" s="310" t="s">
        <v>511</v>
      </c>
      <c r="B23" s="311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5" t="s">
        <v>728</v>
      </c>
      <c r="H23" s="405" t="s">
        <v>727</v>
      </c>
      <c r="I23" s="303" t="s">
        <v>447</v>
      </c>
      <c r="J23" s="303" t="s">
        <v>453</v>
      </c>
      <c r="K23" s="335" t="s">
        <v>592</v>
      </c>
      <c r="N23" s="315"/>
    </row>
    <row r="24" spans="1:14" ht="20.399999999999999" x14ac:dyDescent="0.3">
      <c r="A24" s="310" t="s">
        <v>512</v>
      </c>
      <c r="B24" s="311" t="s">
        <v>368</v>
      </c>
      <c r="C24" s="311" t="e">
        <v>#N/A</v>
      </c>
      <c r="D24" s="311"/>
      <c r="E24" s="311"/>
      <c r="F24" s="311"/>
      <c r="G24" s="311"/>
      <c r="H24" s="313"/>
      <c r="I24" s="313"/>
      <c r="K24" s="335" t="s">
        <v>590</v>
      </c>
      <c r="N24" s="315"/>
    </row>
    <row r="25" spans="1:14" ht="20.399999999999999" x14ac:dyDescent="0.3">
      <c r="A25" s="310" t="s">
        <v>435</v>
      </c>
      <c r="B25" s="311" t="s">
        <v>370</v>
      </c>
      <c r="C25" s="311" t="e">
        <v>#N/A</v>
      </c>
      <c r="D25" s="311"/>
      <c r="E25" s="311"/>
      <c r="F25" s="311"/>
      <c r="G25" s="311"/>
      <c r="H25" s="313"/>
      <c r="I25" s="313"/>
      <c r="K25" s="336" t="s">
        <v>593</v>
      </c>
      <c r="N25" s="318"/>
    </row>
    <row r="26" spans="1:14" ht="20.399999999999999" x14ac:dyDescent="0.3">
      <c r="A26" s="310" t="s">
        <v>436</v>
      </c>
      <c r="B26" s="311" t="s">
        <v>372</v>
      </c>
      <c r="C26" s="311" t="e">
        <v>#N/A</v>
      </c>
      <c r="D26" s="311"/>
      <c r="E26" s="311"/>
      <c r="F26" s="311"/>
      <c r="G26" s="311"/>
      <c r="H26" s="313"/>
      <c r="I26" s="313"/>
      <c r="K26" s="336" t="s">
        <v>594</v>
      </c>
      <c r="N26" s="315"/>
    </row>
    <row r="27" spans="1:14" ht="20.399999999999999" x14ac:dyDescent="0.3">
      <c r="A27" s="310" t="s">
        <v>437</v>
      </c>
      <c r="B27" s="311" t="s">
        <v>374</v>
      </c>
      <c r="C27" s="311" t="e">
        <v>#N/A</v>
      </c>
      <c r="D27" s="311"/>
      <c r="E27" s="311"/>
      <c r="F27" s="311"/>
      <c r="G27" s="311"/>
      <c r="H27" s="315"/>
      <c r="I27" s="315"/>
      <c r="K27" s="336" t="s">
        <v>591</v>
      </c>
      <c r="N27" s="315"/>
    </row>
    <row r="28" spans="1:14" ht="20.399999999999999" x14ac:dyDescent="0.3">
      <c r="A28" s="310" t="s">
        <v>513</v>
      </c>
      <c r="B28" s="311" t="s">
        <v>375</v>
      </c>
      <c r="C28" s="311" t="e">
        <v>#N/A</v>
      </c>
      <c r="D28" s="311"/>
      <c r="E28" s="311"/>
      <c r="F28" s="311"/>
      <c r="G28" s="311"/>
      <c r="H28" s="315"/>
      <c r="I28" s="315"/>
      <c r="K28" s="336" t="s">
        <v>593</v>
      </c>
      <c r="N28" s="315"/>
    </row>
    <row r="29" spans="1:14" ht="20.399999999999999" x14ac:dyDescent="0.3">
      <c r="A29" s="310" t="s">
        <v>514</v>
      </c>
      <c r="B29" s="311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6" t="s">
        <v>594</v>
      </c>
      <c r="N29" s="315"/>
    </row>
    <row r="30" spans="1:14" ht="20.399999999999999" x14ac:dyDescent="0.3">
      <c r="A30" s="310" t="s">
        <v>515</v>
      </c>
      <c r="B30" s="311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6" t="s">
        <v>591</v>
      </c>
      <c r="N30" s="315"/>
    </row>
    <row r="31" spans="1:14" x14ac:dyDescent="0.3">
      <c r="A31" s="310" t="s">
        <v>647</v>
      </c>
      <c r="B31" s="311" t="s">
        <v>378</v>
      </c>
      <c r="C31" s="311" t="e">
        <v>#N/A</v>
      </c>
      <c r="D31" s="311"/>
      <c r="E31" s="311"/>
      <c r="F31" s="311"/>
      <c r="G31" s="311"/>
      <c r="H31" s="315"/>
      <c r="I31" s="315"/>
      <c r="N31" s="315"/>
    </row>
    <row r="32" spans="1:14" x14ac:dyDescent="0.3">
      <c r="A32" s="310" t="s">
        <v>648</v>
      </c>
      <c r="B32" s="311" t="s">
        <v>379</v>
      </c>
      <c r="C32" s="311" t="e">
        <v>#N/A</v>
      </c>
      <c r="E32" s="311"/>
      <c r="F32" s="311"/>
      <c r="G32" s="311"/>
      <c r="H32" s="315"/>
      <c r="I32" s="315"/>
      <c r="N32" s="315"/>
    </row>
    <row r="33" spans="1:14" ht="20.399999999999999" x14ac:dyDescent="0.3">
      <c r="A33" s="312" t="s">
        <v>420</v>
      </c>
      <c r="B33" s="312" t="s">
        <v>329</v>
      </c>
      <c r="C33" s="311" t="e">
        <v>#N/A</v>
      </c>
      <c r="H33" s="315"/>
      <c r="I33" s="315"/>
      <c r="K33" s="335" t="s">
        <v>599</v>
      </c>
      <c r="N33" s="315"/>
    </row>
    <row r="34" spans="1:14" ht="20.399999999999999" x14ac:dyDescent="0.3">
      <c r="A34" s="312" t="s">
        <v>421</v>
      </c>
      <c r="B34" s="312" t="s">
        <v>332</v>
      </c>
      <c r="C34" s="311" t="e">
        <v>#N/A</v>
      </c>
      <c r="H34" s="315"/>
      <c r="I34" s="315"/>
      <c r="K34" s="335" t="s">
        <v>599</v>
      </c>
      <c r="N34" s="315"/>
    </row>
    <row r="35" spans="1:14" ht="20.399999999999999" x14ac:dyDescent="0.3">
      <c r="A35" s="312" t="s">
        <v>422</v>
      </c>
      <c r="B35" s="312" t="s">
        <v>335</v>
      </c>
      <c r="C35" s="311" t="e">
        <v>#N/A</v>
      </c>
      <c r="H35" s="315"/>
      <c r="I35" s="315"/>
      <c r="K35" s="335" t="s">
        <v>600</v>
      </c>
      <c r="N35" s="315"/>
    </row>
    <row r="36" spans="1:14" ht="20.399999999999999" x14ac:dyDescent="0.3">
      <c r="A36" s="312" t="s">
        <v>423</v>
      </c>
      <c r="B36" s="312" t="s">
        <v>338</v>
      </c>
      <c r="C36" s="311" t="e">
        <v>#N/A</v>
      </c>
      <c r="H36" s="315"/>
      <c r="I36" s="315"/>
      <c r="K36" s="335" t="s">
        <v>600</v>
      </c>
      <c r="N36" s="315"/>
    </row>
    <row r="37" spans="1:14" ht="20.399999999999999" x14ac:dyDescent="0.3">
      <c r="A37" s="312" t="s">
        <v>424</v>
      </c>
      <c r="B37" s="312" t="s">
        <v>341</v>
      </c>
      <c r="C37" s="311" t="e">
        <v>#N/A</v>
      </c>
      <c r="K37" s="335" t="s">
        <v>601</v>
      </c>
      <c r="N37" s="315"/>
    </row>
    <row r="38" spans="1:14" ht="20.399999999999999" x14ac:dyDescent="0.3">
      <c r="A38" s="314" t="s">
        <v>425</v>
      </c>
      <c r="B38" s="314" t="s">
        <v>344</v>
      </c>
      <c r="C38" s="311" t="e">
        <v>#N/A</v>
      </c>
      <c r="K38" s="335" t="s">
        <v>601</v>
      </c>
      <c r="N38" s="317"/>
    </row>
    <row r="39" spans="1:14" ht="20.399999999999999" x14ac:dyDescent="0.3">
      <c r="A39" s="313" t="s">
        <v>380</v>
      </c>
      <c r="B39" s="313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6" t="s">
        <v>595</v>
      </c>
    </row>
    <row r="40" spans="1:14" ht="20.399999999999999" x14ac:dyDescent="0.3">
      <c r="A40" s="313" t="s">
        <v>381</v>
      </c>
      <c r="B40" s="313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6" t="s">
        <v>595</v>
      </c>
      <c r="N40" s="318"/>
    </row>
    <row r="41" spans="1:14" ht="20.399999999999999" x14ac:dyDescent="0.3">
      <c r="A41" s="313" t="s">
        <v>382</v>
      </c>
      <c r="B41" s="313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6" t="s">
        <v>595</v>
      </c>
      <c r="N41" s="318"/>
    </row>
    <row r="42" spans="1:14" ht="20.399999999999999" x14ac:dyDescent="0.3">
      <c r="A42" s="313" t="s">
        <v>383</v>
      </c>
      <c r="B42" s="313" t="s">
        <v>339</v>
      </c>
      <c r="C42" s="76" t="e">
        <v>#N/A</v>
      </c>
      <c r="K42" s="336" t="s">
        <v>595</v>
      </c>
      <c r="N42" s="319"/>
    </row>
    <row r="43" spans="1:14" ht="20.399999999999999" x14ac:dyDescent="0.3">
      <c r="A43" s="313" t="s">
        <v>384</v>
      </c>
      <c r="B43" s="313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6" t="s">
        <v>595</v>
      </c>
    </row>
    <row r="44" spans="1:14" ht="20.399999999999999" x14ac:dyDescent="0.3">
      <c r="A44" s="313" t="s">
        <v>385</v>
      </c>
      <c r="B44" s="313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6" t="s">
        <v>595</v>
      </c>
    </row>
    <row r="45" spans="1:14" ht="20.399999999999999" x14ac:dyDescent="0.3">
      <c r="A45" s="313" t="s">
        <v>386</v>
      </c>
      <c r="B45" s="313" t="s">
        <v>347</v>
      </c>
      <c r="C45" s="76" t="e">
        <v>#N/A</v>
      </c>
      <c r="K45" s="336" t="s">
        <v>595</v>
      </c>
    </row>
    <row r="46" spans="1:14" ht="20.399999999999999" x14ac:dyDescent="0.3">
      <c r="A46" s="313" t="s">
        <v>387</v>
      </c>
      <c r="B46" s="313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6" t="s">
        <v>596</v>
      </c>
    </row>
    <row r="47" spans="1:14" ht="20.399999999999999" x14ac:dyDescent="0.3">
      <c r="A47" s="313" t="s">
        <v>388</v>
      </c>
      <c r="B47" s="313" t="s">
        <v>351</v>
      </c>
      <c r="C47" s="76" t="e">
        <v>#N/A</v>
      </c>
      <c r="K47" s="336" t="s">
        <v>596</v>
      </c>
    </row>
    <row r="48" spans="1:14" ht="20.399999999999999" x14ac:dyDescent="0.3">
      <c r="A48" s="313" t="s">
        <v>389</v>
      </c>
      <c r="B48" s="313" t="s">
        <v>353</v>
      </c>
      <c r="C48" s="76" t="e">
        <v>#N/A</v>
      </c>
      <c r="K48" s="336" t="s">
        <v>596</v>
      </c>
    </row>
    <row r="49" spans="1:11" ht="20.399999999999999" x14ac:dyDescent="0.3">
      <c r="A49" s="313" t="s">
        <v>390</v>
      </c>
      <c r="B49" s="313" t="s">
        <v>355</v>
      </c>
      <c r="C49" s="76" t="e">
        <v>#N/A</v>
      </c>
      <c r="K49" s="336" t="s">
        <v>596</v>
      </c>
    </row>
    <row r="50" spans="1:11" ht="20.399999999999999" x14ac:dyDescent="0.3">
      <c r="A50" s="313" t="s">
        <v>391</v>
      </c>
      <c r="B50" s="313" t="s">
        <v>357</v>
      </c>
      <c r="C50" s="76" t="e">
        <v>#N/A</v>
      </c>
      <c r="K50" s="336" t="s">
        <v>596</v>
      </c>
    </row>
    <row r="51" spans="1:11" ht="20.399999999999999" x14ac:dyDescent="0.3">
      <c r="A51" s="313" t="s">
        <v>392</v>
      </c>
      <c r="B51" s="313" t="s">
        <v>359</v>
      </c>
      <c r="C51" s="76" t="e">
        <v>#N/A</v>
      </c>
      <c r="K51" s="336" t="s">
        <v>596</v>
      </c>
    </row>
    <row r="52" spans="1:11" ht="20.399999999999999" x14ac:dyDescent="0.3">
      <c r="A52" s="313" t="s">
        <v>393</v>
      </c>
      <c r="B52" s="313" t="s">
        <v>361</v>
      </c>
      <c r="C52" s="76" t="e">
        <v>#N/A</v>
      </c>
      <c r="K52" s="336" t="s">
        <v>597</v>
      </c>
    </row>
    <row r="53" spans="1:11" ht="20.399999999999999" x14ac:dyDescent="0.3">
      <c r="A53" s="313" t="s">
        <v>394</v>
      </c>
      <c r="B53" s="313" t="s">
        <v>363</v>
      </c>
      <c r="C53" s="76" t="e">
        <v>#N/A</v>
      </c>
      <c r="K53" s="336" t="s">
        <v>597</v>
      </c>
    </row>
    <row r="54" spans="1:11" ht="20.399999999999999" x14ac:dyDescent="0.3">
      <c r="A54" s="313" t="s">
        <v>395</v>
      </c>
      <c r="B54" s="313" t="s">
        <v>365</v>
      </c>
      <c r="C54" s="76" t="e">
        <v>#N/A</v>
      </c>
      <c r="K54" s="336" t="s">
        <v>597</v>
      </c>
    </row>
    <row r="55" spans="1:11" ht="20.399999999999999" x14ac:dyDescent="0.3">
      <c r="A55" s="313" t="s">
        <v>396</v>
      </c>
      <c r="B55" s="313" t="s">
        <v>367</v>
      </c>
      <c r="C55" s="76" t="e">
        <v>#N/A</v>
      </c>
      <c r="K55" s="336" t="s">
        <v>597</v>
      </c>
    </row>
    <row r="56" spans="1:11" ht="20.399999999999999" x14ac:dyDescent="0.3">
      <c r="A56" s="313" t="s">
        <v>397</v>
      </c>
      <c r="B56" s="313" t="s">
        <v>369</v>
      </c>
      <c r="C56" s="76" t="e">
        <v>#N/A</v>
      </c>
      <c r="K56" s="336" t="s">
        <v>597</v>
      </c>
    </row>
    <row r="57" spans="1:11" ht="20.399999999999999" x14ac:dyDescent="0.3">
      <c r="A57" s="313" t="s">
        <v>398</v>
      </c>
      <c r="B57" s="313" t="s">
        <v>371</v>
      </c>
      <c r="C57" s="76" t="e">
        <v>#N/A</v>
      </c>
      <c r="K57" s="336" t="s">
        <v>597</v>
      </c>
    </row>
    <row r="58" spans="1:11" ht="20.399999999999999" x14ac:dyDescent="0.3">
      <c r="A58" s="313" t="s">
        <v>399</v>
      </c>
      <c r="B58" s="313" t="s">
        <v>373</v>
      </c>
      <c r="C58" s="76" t="e">
        <v>#N/A</v>
      </c>
      <c r="K58" s="336" t="s">
        <v>597</v>
      </c>
    </row>
    <row r="59" spans="1:11" ht="20.399999999999999" x14ac:dyDescent="0.3">
      <c r="A59" s="315" t="s">
        <v>410</v>
      </c>
      <c r="B59" s="315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3" t="s">
        <v>545</v>
      </c>
      <c r="J59" s="303" t="s">
        <v>545</v>
      </c>
      <c r="K59" s="336" t="s">
        <v>595</v>
      </c>
    </row>
    <row r="60" spans="1:11" ht="20.399999999999999" x14ac:dyDescent="0.3">
      <c r="A60" s="315" t="s">
        <v>411</v>
      </c>
      <c r="B60" s="315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6" t="s">
        <v>595</v>
      </c>
    </row>
    <row r="61" spans="1:11" ht="20.399999999999999" x14ac:dyDescent="0.3">
      <c r="A61" s="316" t="s">
        <v>412</v>
      </c>
      <c r="B61" s="315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3" t="s">
        <v>531</v>
      </c>
      <c r="J61" s="303" t="s">
        <v>531</v>
      </c>
      <c r="K61" s="336" t="s">
        <v>595</v>
      </c>
    </row>
    <row r="62" spans="1:11" ht="20.399999999999999" x14ac:dyDescent="0.3">
      <c r="A62" s="315" t="s">
        <v>413</v>
      </c>
      <c r="B62" s="315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3" t="s">
        <v>538</v>
      </c>
      <c r="J62" s="303" t="s">
        <v>538</v>
      </c>
      <c r="K62" s="336" t="s">
        <v>595</v>
      </c>
    </row>
    <row r="63" spans="1:11" ht="20.399999999999999" x14ac:dyDescent="0.3">
      <c r="A63" s="315" t="s">
        <v>414</v>
      </c>
      <c r="B63" s="315" t="s">
        <v>404</v>
      </c>
      <c r="C63" s="76" t="e">
        <v>#N/A</v>
      </c>
      <c r="K63" s="336" t="s">
        <v>595</v>
      </c>
    </row>
    <row r="64" spans="1:11" ht="20.399999999999999" x14ac:dyDescent="0.3">
      <c r="A64" s="315" t="s">
        <v>415</v>
      </c>
      <c r="B64" s="315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3" t="s">
        <v>538</v>
      </c>
      <c r="J64" s="303" t="s">
        <v>538</v>
      </c>
      <c r="K64" s="336" t="s">
        <v>596</v>
      </c>
    </row>
    <row r="65" spans="1:11" ht="20.399999999999999" x14ac:dyDescent="0.3">
      <c r="A65" s="315" t="s">
        <v>416</v>
      </c>
      <c r="B65" s="315" t="s">
        <v>406</v>
      </c>
      <c r="C65" s="76" t="e">
        <v>#N/A</v>
      </c>
      <c r="K65" s="336" t="s">
        <v>596</v>
      </c>
    </row>
    <row r="66" spans="1:11" ht="20.399999999999999" x14ac:dyDescent="0.3">
      <c r="A66" s="315" t="s">
        <v>417</v>
      </c>
      <c r="B66" s="315" t="s">
        <v>407</v>
      </c>
      <c r="C66" s="76" t="e">
        <v>#N/A</v>
      </c>
      <c r="K66" s="336" t="s">
        <v>596</v>
      </c>
    </row>
    <row r="67" spans="1:11" ht="20.399999999999999" x14ac:dyDescent="0.3">
      <c r="A67" s="315" t="s">
        <v>418</v>
      </c>
      <c r="B67" s="315" t="s">
        <v>408</v>
      </c>
      <c r="C67" s="76" t="e">
        <v>#N/A</v>
      </c>
      <c r="K67" s="336" t="s">
        <v>597</v>
      </c>
    </row>
    <row r="68" spans="1:11" ht="20.399999999999999" x14ac:dyDescent="0.3">
      <c r="A68" s="315" t="s">
        <v>419</v>
      </c>
      <c r="B68" s="315" t="s">
        <v>409</v>
      </c>
      <c r="C68" s="76" t="e">
        <v>#N/A</v>
      </c>
      <c r="K68" s="336" t="s">
        <v>597</v>
      </c>
    </row>
    <row r="69" spans="1:11" ht="20.399999999999999" x14ac:dyDescent="0.3">
      <c r="A69" s="76" t="s">
        <v>475</v>
      </c>
      <c r="B69" s="315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6" t="s">
        <v>598</v>
      </c>
    </row>
    <row r="70" spans="1:11" ht="20.399999999999999" x14ac:dyDescent="0.3">
      <c r="A70" s="76" t="s">
        <v>476</v>
      </c>
      <c r="B70" s="315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6" t="s">
        <v>598</v>
      </c>
    </row>
    <row r="71" spans="1:11" x14ac:dyDescent="0.3">
      <c r="A71" s="76" t="s">
        <v>477</v>
      </c>
      <c r="B71" s="318" t="s">
        <v>440</v>
      </c>
      <c r="C71" s="76" t="e">
        <v>#N/A</v>
      </c>
    </row>
    <row r="72" spans="1:11" ht="30.6" x14ac:dyDescent="0.3">
      <c r="A72" s="76" t="s">
        <v>488</v>
      </c>
      <c r="B72" s="315" t="s">
        <v>478</v>
      </c>
      <c r="C72" s="76" t="e">
        <v>#N/A</v>
      </c>
      <c r="K72" s="335" t="s">
        <v>606</v>
      </c>
    </row>
    <row r="73" spans="1:11" ht="30.6" x14ac:dyDescent="0.3">
      <c r="A73" s="76" t="s">
        <v>489</v>
      </c>
      <c r="B73" s="315" t="s">
        <v>479</v>
      </c>
      <c r="C73" s="76" t="e">
        <v>#N/A</v>
      </c>
      <c r="K73" s="335" t="s">
        <v>604</v>
      </c>
    </row>
    <row r="74" spans="1:11" ht="30.6" x14ac:dyDescent="0.3">
      <c r="A74" s="76" t="s">
        <v>490</v>
      </c>
      <c r="B74" s="315" t="s">
        <v>480</v>
      </c>
      <c r="C74" s="76" t="e">
        <v>#N/A</v>
      </c>
      <c r="K74" s="335" t="s">
        <v>604</v>
      </c>
    </row>
    <row r="75" spans="1:11" ht="30.6" x14ac:dyDescent="0.3">
      <c r="A75" s="76" t="s">
        <v>491</v>
      </c>
      <c r="B75" s="315" t="s">
        <v>481</v>
      </c>
      <c r="C75" s="76" t="e">
        <v>#N/A</v>
      </c>
      <c r="K75" s="335" t="s">
        <v>605</v>
      </c>
    </row>
    <row r="76" spans="1:11" ht="20.399999999999999" x14ac:dyDescent="0.3">
      <c r="A76" s="76" t="s">
        <v>492</v>
      </c>
      <c r="B76" s="315" t="s">
        <v>482</v>
      </c>
      <c r="C76" s="76" t="e">
        <v>#N/A</v>
      </c>
      <c r="K76" s="335" t="s">
        <v>602</v>
      </c>
    </row>
    <row r="77" spans="1:11" ht="20.399999999999999" x14ac:dyDescent="0.3">
      <c r="A77" s="76" t="s">
        <v>493</v>
      </c>
      <c r="B77" s="315" t="s">
        <v>483</v>
      </c>
      <c r="C77" s="76" t="e">
        <v>#N/A</v>
      </c>
      <c r="K77" s="335" t="s">
        <v>602</v>
      </c>
    </row>
    <row r="78" spans="1:11" ht="20.399999999999999" x14ac:dyDescent="0.3">
      <c r="A78" s="76" t="s">
        <v>494</v>
      </c>
      <c r="B78" s="315" t="s">
        <v>484</v>
      </c>
      <c r="C78" s="76" t="e">
        <v>#N/A</v>
      </c>
      <c r="K78" s="335" t="s">
        <v>602</v>
      </c>
    </row>
    <row r="79" spans="1:11" ht="20.399999999999999" x14ac:dyDescent="0.3">
      <c r="A79" s="76" t="s">
        <v>495</v>
      </c>
      <c r="B79" s="315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5" t="s">
        <v>603</v>
      </c>
    </row>
    <row r="80" spans="1:11" ht="20.399999999999999" x14ac:dyDescent="0.3">
      <c r="A80" s="76" t="s">
        <v>496</v>
      </c>
      <c r="B80" s="315" t="s">
        <v>486</v>
      </c>
      <c r="C80" s="76" t="e">
        <v>#N/A</v>
      </c>
      <c r="K80" s="335" t="s">
        <v>603</v>
      </c>
    </row>
    <row r="81" spans="1:11" ht="20.399999999999999" x14ac:dyDescent="0.3">
      <c r="A81" s="76" t="s">
        <v>497</v>
      </c>
      <c r="B81" s="315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5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"/>
  <sheetViews>
    <sheetView view="pageBreakPreview" zoomScale="85" zoomScaleNormal="100" zoomScaleSheetLayoutView="85" zoomScalePageLayoutView="85" workbookViewId="0">
      <selection activeCell="B1" sqref="B1"/>
    </sheetView>
  </sheetViews>
  <sheetFormatPr defaultColWidth="9.109375" defaultRowHeight="14.4" x14ac:dyDescent="0.3"/>
  <cols>
    <col min="1" max="1" width="6.33203125" style="132" customWidth="1"/>
    <col min="2" max="2" width="10.44140625" style="132" customWidth="1"/>
    <col min="3" max="3" width="10.88671875" style="132" customWidth="1"/>
    <col min="4" max="4" width="16.44140625" style="132" customWidth="1"/>
    <col min="5" max="5" width="12" style="132" customWidth="1"/>
    <col min="6" max="6" width="16.5546875" style="132" customWidth="1"/>
    <col min="7" max="7" width="9.109375" style="132"/>
    <col min="8" max="8" width="15.44140625" style="132" customWidth="1"/>
    <col min="9" max="9" width="6.6640625" style="132" customWidth="1"/>
    <col min="10" max="10" width="7.44140625" style="132" customWidth="1"/>
    <col min="11" max="12" width="7.109375" style="132" customWidth="1"/>
    <col min="13" max="13" width="20.88671875" style="132" customWidth="1"/>
    <col min="14" max="16384" width="9.109375" style="132"/>
  </cols>
  <sheetData>
    <row r="1" spans="1:13" s="9" customFormat="1" ht="126.75" customHeight="1" thickBot="1" x14ac:dyDescent="0.35">
      <c r="A1" s="296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8" t="s">
        <v>260</v>
      </c>
      <c r="J1" s="308" t="s">
        <v>261</v>
      </c>
      <c r="K1" s="309" t="s">
        <v>322</v>
      </c>
      <c r="L1" s="309" t="s">
        <v>323</v>
      </c>
      <c r="M1" s="134" t="s">
        <v>131</v>
      </c>
    </row>
    <row r="2" spans="1:13" s="9" customFormat="1" ht="79.5" customHeight="1" x14ac:dyDescent="0.3">
      <c r="A2" s="135"/>
      <c r="B2" s="384"/>
      <c r="C2" s="386"/>
      <c r="D2" s="386"/>
      <c r="E2" s="386"/>
      <c r="F2" s="133"/>
      <c r="G2" s="386"/>
      <c r="H2" s="133"/>
      <c r="I2" s="133"/>
      <c r="J2" s="133"/>
      <c r="K2" s="388"/>
      <c r="L2" s="306"/>
      <c r="M2" s="136"/>
    </row>
    <row r="3" spans="1:13" s="9" customFormat="1" ht="79.5" customHeight="1" x14ac:dyDescent="0.3">
      <c r="A3" s="8"/>
      <c r="B3" s="384"/>
      <c r="C3" s="386"/>
      <c r="D3" s="386"/>
      <c r="E3" s="387"/>
      <c r="F3" s="10"/>
      <c r="G3" s="387"/>
      <c r="H3" s="10"/>
      <c r="I3" s="10"/>
      <c r="J3" s="10"/>
      <c r="K3" s="389"/>
      <c r="L3" s="307"/>
      <c r="M3" s="137"/>
    </row>
    <row r="4" spans="1:13" s="9" customFormat="1" ht="79.5" customHeight="1" x14ac:dyDescent="0.3">
      <c r="A4" s="8"/>
      <c r="B4" s="385"/>
      <c r="C4" s="387"/>
      <c r="D4" s="387"/>
      <c r="E4" s="387"/>
      <c r="F4" s="10"/>
      <c r="G4" s="387"/>
      <c r="H4" s="10"/>
      <c r="I4" s="10"/>
      <c r="J4" s="10"/>
      <c r="K4" s="389"/>
      <c r="L4" s="307"/>
      <c r="M4" s="137"/>
    </row>
    <row r="6" spans="1:13" ht="15.6" x14ac:dyDescent="0.3">
      <c r="D6" s="228" t="s">
        <v>299</v>
      </c>
      <c r="E6" s="302"/>
      <c r="F6" s="301"/>
      <c r="G6" s="301"/>
      <c r="H6" s="301"/>
    </row>
    <row r="7" spans="1:13" x14ac:dyDescent="0.3">
      <c r="E7" s="301"/>
      <c r="F7" s="301"/>
      <c r="G7" s="301"/>
      <c r="H7" s="301"/>
    </row>
    <row r="8" spans="1:13" ht="15.6" x14ac:dyDescent="0.3">
      <c r="D8" s="228" t="s">
        <v>300</v>
      </c>
      <c r="E8" s="302"/>
      <c r="F8" s="301"/>
      <c r="G8" s="301"/>
      <c r="H8" s="301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3">
      <c r="A2" s="141" t="s">
        <v>231</v>
      </c>
      <c r="B2" s="390"/>
      <c r="C2" s="390"/>
      <c r="D2" s="390"/>
      <c r="E2" s="138"/>
      <c r="F2" s="139"/>
      <c r="G2" s="394"/>
      <c r="H2" s="142"/>
      <c r="I2" s="110"/>
      <c r="J2" s="16"/>
    </row>
    <row r="3" spans="1:10" s="15" customFormat="1" ht="48" customHeight="1" thickBot="1" x14ac:dyDescent="0.35">
      <c r="A3" s="111" t="s">
        <v>232</v>
      </c>
      <c r="B3" s="391"/>
      <c r="C3" s="391"/>
      <c r="D3" s="391"/>
      <c r="E3" s="112"/>
      <c r="F3" s="113"/>
      <c r="G3" s="395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/>
  </sheetViews>
  <sheetFormatPr defaultColWidth="9.109375" defaultRowHeight="15.6" x14ac:dyDescent="0.3"/>
  <cols>
    <col min="1" max="1" width="37.33203125" style="76" bestFit="1" customWidth="1"/>
    <col min="2" max="2" width="10.109375" style="76" customWidth="1"/>
    <col min="3" max="3" width="14.33203125" style="76" bestFit="1" customWidth="1"/>
    <col min="4" max="4" width="16.44140625" style="76" bestFit="1" customWidth="1"/>
    <col min="5" max="5" width="19.6640625" style="76" bestFit="1" customWidth="1"/>
    <col min="6" max="6" width="3" style="76" customWidth="1"/>
    <col min="7" max="7" width="34.6640625" style="76" customWidth="1"/>
    <col min="8" max="8" width="9.44140625" style="76" bestFit="1" customWidth="1"/>
    <col min="9" max="9" width="9.109375" style="76"/>
    <col min="10" max="16" width="9.109375" style="76" customWidth="1"/>
    <col min="17" max="16384" width="9.109375" style="76"/>
  </cols>
  <sheetData>
    <row r="1" spans="1:14" s="73" customFormat="1" ht="30" customHeight="1" thickBot="1" x14ac:dyDescent="0.35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3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5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3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5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5">
      <c r="A6" s="91" t="s">
        <v>189</v>
      </c>
      <c r="B6" s="72" t="s">
        <v>193</v>
      </c>
      <c r="C6" s="72" t="s">
        <v>730</v>
      </c>
      <c r="D6" s="415"/>
      <c r="E6" s="415"/>
      <c r="G6" s="91" t="s">
        <v>190</v>
      </c>
      <c r="H6" s="72" t="s">
        <v>193</v>
      </c>
    </row>
    <row r="7" spans="1:14" s="73" customFormat="1" ht="37.5" customHeight="1" x14ac:dyDescent="0.3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3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3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3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3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3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3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3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5">
      <c r="A15" s="104" t="s">
        <v>151</v>
      </c>
      <c r="B15" s="99"/>
      <c r="C15" s="99"/>
      <c r="D15" s="416"/>
      <c r="E15" s="416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>
      <selection activeCell="A2" sqref="A2"/>
    </sheetView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1" t="s">
        <v>292</v>
      </c>
      <c r="B1" s="72" t="s">
        <v>193</v>
      </c>
      <c r="C1" s="415" t="s">
        <v>730</v>
      </c>
      <c r="E1" s="144"/>
      <c r="F1" s="145"/>
    </row>
    <row r="2" spans="1:6" s="15" customFormat="1" ht="45" customHeight="1" x14ac:dyDescent="0.3">
      <c r="A2" s="144" t="s">
        <v>196</v>
      </c>
      <c r="B2" s="145"/>
      <c r="C2" s="145"/>
      <c r="E2" s="146"/>
      <c r="F2" s="147"/>
    </row>
    <row r="3" spans="1:6" s="15" customFormat="1" ht="45" customHeight="1" x14ac:dyDescent="0.3">
      <c r="A3" s="146" t="s">
        <v>197</v>
      </c>
      <c r="B3" s="147"/>
      <c r="C3" s="147"/>
      <c r="E3" s="148"/>
      <c r="F3" s="149"/>
    </row>
    <row r="4" spans="1:6" s="15" customFormat="1" ht="45" customHeight="1" x14ac:dyDescent="0.3">
      <c r="A4" s="146" t="s">
        <v>198</v>
      </c>
      <c r="B4" s="147"/>
      <c r="C4" s="147"/>
    </row>
    <row r="5" spans="1:6" s="15" customFormat="1" ht="45" customHeight="1" x14ac:dyDescent="0.3">
      <c r="A5" s="146" t="s">
        <v>199</v>
      </c>
      <c r="B5" s="147"/>
      <c r="C5" s="147"/>
    </row>
    <row r="6" spans="1:6" s="15" customFormat="1" ht="45" customHeight="1" x14ac:dyDescent="0.3">
      <c r="A6" s="148" t="s">
        <v>200</v>
      </c>
      <c r="B6" s="149"/>
      <c r="C6" s="149"/>
    </row>
    <row r="7" spans="1:6" s="15" customFormat="1" ht="45" customHeight="1" x14ac:dyDescent="0.3">
      <c r="A7" s="148" t="s">
        <v>201</v>
      </c>
      <c r="B7" s="149"/>
      <c r="C7" s="149"/>
    </row>
    <row r="8" spans="1:6" s="15" customFormat="1" ht="45" customHeight="1" x14ac:dyDescent="0.3">
      <c r="A8" s="148" t="s">
        <v>202</v>
      </c>
      <c r="B8" s="149"/>
      <c r="C8" s="149"/>
    </row>
    <row r="9" spans="1:6" s="15" customFormat="1" ht="45" customHeight="1" thickBot="1" x14ac:dyDescent="0.35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hidden="1" customWidth="1"/>
    <col min="9" max="15" width="8.88671875" hidden="1" customWidth="1"/>
    <col min="16" max="16" width="9.109375" hidden="1" customWidth="1"/>
    <col min="29" max="29" width="9.109375" hidden="1" customWidth="1"/>
  </cols>
  <sheetData>
    <row r="1" spans="1:29" s="6" customFormat="1" ht="72" customHeight="1" thickBot="1" x14ac:dyDescent="0.35">
      <c r="A1" s="417" t="s">
        <v>192</v>
      </c>
      <c r="B1" s="412" t="s">
        <v>193</v>
      </c>
      <c r="C1" s="413" t="s">
        <v>729</v>
      </c>
      <c r="D1" s="53"/>
      <c r="E1" s="25" t="s">
        <v>188</v>
      </c>
      <c r="F1" s="63" t="s">
        <v>193</v>
      </c>
      <c r="I1" s="299"/>
      <c r="J1" s="298"/>
      <c r="K1" s="85"/>
      <c r="L1" s="88"/>
    </row>
    <row r="2" spans="1:29" s="4" customFormat="1" ht="25.5" customHeight="1" x14ac:dyDescent="0.3">
      <c r="A2" s="409" t="s">
        <v>132</v>
      </c>
      <c r="B2" s="411"/>
      <c r="C2" s="414"/>
      <c r="D2" s="48"/>
      <c r="E2" s="297" t="s">
        <v>154</v>
      </c>
      <c r="F2" s="298"/>
      <c r="I2" s="87"/>
      <c r="J2" s="88"/>
      <c r="K2" s="87"/>
      <c r="L2" s="88"/>
      <c r="M2" s="298"/>
      <c r="N2" s="297"/>
      <c r="O2" s="298"/>
      <c r="AC2" s="409"/>
    </row>
    <row r="3" spans="1:29" s="4" customFormat="1" ht="25.5" customHeight="1" x14ac:dyDescent="0.3">
      <c r="A3" s="45" t="s">
        <v>135</v>
      </c>
      <c r="B3" s="406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3">
      <c r="A4" s="45" t="s">
        <v>133</v>
      </c>
      <c r="B4" s="406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3">
      <c r="A5" s="45" t="s">
        <v>134</v>
      </c>
      <c r="B5" s="406"/>
      <c r="C5" s="88"/>
      <c r="D5" s="49"/>
      <c r="E5" s="85" t="s">
        <v>157</v>
      </c>
      <c r="F5" s="88"/>
      <c r="AC5" s="45"/>
    </row>
    <row r="6" spans="1:29" s="4" customFormat="1" ht="30" customHeight="1" x14ac:dyDescent="0.3">
      <c r="A6" s="45" t="s">
        <v>136</v>
      </c>
      <c r="B6" s="406"/>
      <c r="C6" s="88"/>
      <c r="D6" s="49"/>
      <c r="E6" s="85" t="s">
        <v>158</v>
      </c>
      <c r="F6" s="88"/>
      <c r="AC6" s="45"/>
    </row>
    <row r="7" spans="1:29" s="4" customFormat="1" ht="30" customHeight="1" x14ac:dyDescent="0.3">
      <c r="A7" s="45" t="s">
        <v>137</v>
      </c>
      <c r="B7" s="407"/>
      <c r="C7" s="89"/>
      <c r="D7" s="49"/>
      <c r="E7" s="85" t="s">
        <v>159</v>
      </c>
      <c r="F7" s="89"/>
      <c r="AC7" s="45"/>
    </row>
    <row r="8" spans="1:29" s="4" customFormat="1" ht="30" customHeight="1" x14ac:dyDescent="0.3">
      <c r="A8" s="45" t="s">
        <v>138</v>
      </c>
      <c r="B8" s="406"/>
      <c r="C8" s="88"/>
      <c r="D8" s="49"/>
      <c r="E8" s="85" t="s">
        <v>163</v>
      </c>
      <c r="F8" s="88"/>
      <c r="AC8" s="45"/>
    </row>
    <row r="9" spans="1:29" s="4" customFormat="1" ht="30" customHeight="1" x14ac:dyDescent="0.3">
      <c r="A9" s="45" t="s">
        <v>139</v>
      </c>
      <c r="B9" s="406"/>
      <c r="C9" s="88"/>
      <c r="D9" s="49"/>
      <c r="E9" s="85" t="s">
        <v>164</v>
      </c>
      <c r="F9" s="89"/>
      <c r="AC9" s="45"/>
    </row>
    <row r="10" spans="1:29" s="4" customFormat="1" ht="30" customHeight="1" x14ac:dyDescent="0.3">
      <c r="A10" s="28" t="s">
        <v>140</v>
      </c>
      <c r="B10" s="406"/>
      <c r="C10" s="88"/>
      <c r="D10" s="49"/>
      <c r="E10" s="85" t="s">
        <v>165</v>
      </c>
      <c r="F10" s="89"/>
      <c r="AC10" s="28"/>
    </row>
    <row r="11" spans="1:29" s="4" customFormat="1" ht="30" customHeight="1" x14ac:dyDescent="0.3">
      <c r="A11" s="45" t="s">
        <v>141</v>
      </c>
      <c r="B11" s="406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5">
      <c r="A12" s="410" t="s">
        <v>142</v>
      </c>
      <c r="B12" s="408"/>
      <c r="C12" s="300"/>
      <c r="D12" s="49"/>
      <c r="E12" s="85" t="s">
        <v>167</v>
      </c>
      <c r="F12" s="89"/>
      <c r="AC12" s="410"/>
    </row>
    <row r="13" spans="1:29" s="4" customFormat="1" ht="35.25" customHeight="1" x14ac:dyDescent="0.3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3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3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3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3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3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3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3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3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5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1" t="s">
        <v>228</v>
      </c>
      <c r="B1" s="27" t="s">
        <v>10</v>
      </c>
      <c r="C1" s="37" t="s">
        <v>193</v>
      </c>
      <c r="D1" s="304" t="s">
        <v>262</v>
      </c>
      <c r="E1" s="37" t="s">
        <v>229</v>
      </c>
      <c r="F1" s="26" t="s">
        <v>285</v>
      </c>
      <c r="G1" s="305" t="s">
        <v>230</v>
      </c>
    </row>
    <row r="2" spans="1:7" s="2" customFormat="1" ht="27" customHeight="1" x14ac:dyDescent="0.3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303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303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303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303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303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303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303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303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303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303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303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303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303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303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303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303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303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303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303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303"/>
      <c r="E25" s="13"/>
      <c r="F25" s="54"/>
      <c r="G25" s="55"/>
    </row>
    <row r="26" spans="1:7" s="2" customFormat="1" ht="27" customHeight="1" thickBot="1" x14ac:dyDescent="0.35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D54" sqref="A41:D54"/>
    </sheetView>
  </sheetViews>
  <sheetFormatPr defaultColWidth="9.109375" defaultRowHeight="15" x14ac:dyDescent="0.25"/>
  <cols>
    <col min="1" max="1" width="48.6640625" style="129" bestFit="1" customWidth="1"/>
    <col min="2" max="2" width="13.6640625" style="129" customWidth="1"/>
    <col min="3" max="3" width="21.88671875" style="129" customWidth="1"/>
    <col min="4" max="4" width="35.5546875" style="129" customWidth="1"/>
    <col min="5" max="16384" width="9.109375" style="129"/>
  </cols>
  <sheetData>
    <row r="1" spans="1:4" s="75" customFormat="1" ht="36.75" customHeight="1" thickBot="1" x14ac:dyDescent="0.3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5">
      <c r="A2" s="119" t="s">
        <v>236</v>
      </c>
      <c r="B2" s="123"/>
      <c r="C2" s="123"/>
      <c r="D2" s="124"/>
    </row>
    <row r="3" spans="1:4" s="75" customFormat="1" ht="39" customHeight="1" x14ac:dyDescent="0.25">
      <c r="A3" s="120" t="s">
        <v>237</v>
      </c>
      <c r="B3" s="125"/>
      <c r="C3" s="125"/>
      <c r="D3" s="126"/>
    </row>
    <row r="4" spans="1:4" s="75" customFormat="1" ht="39" customHeight="1" x14ac:dyDescent="0.25">
      <c r="A4" s="121" t="s">
        <v>238</v>
      </c>
      <c r="B4" s="117"/>
      <c r="C4" s="117"/>
      <c r="D4" s="127"/>
    </row>
    <row r="5" spans="1:4" s="75" customFormat="1" ht="39" customHeight="1" x14ac:dyDescent="0.25">
      <c r="A5" s="121" t="s">
        <v>239</v>
      </c>
      <c r="B5" s="117"/>
      <c r="C5" s="117"/>
      <c r="D5" s="127"/>
    </row>
    <row r="6" spans="1:4" s="75" customFormat="1" ht="39" customHeight="1" thickBot="1" x14ac:dyDescent="0.3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3" sqref="B3"/>
    </sheetView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3">
      <c r="A2" s="153" t="s">
        <v>234</v>
      </c>
      <c r="B2" s="392"/>
      <c r="C2" s="152"/>
      <c r="D2" s="152"/>
      <c r="E2" s="94"/>
      <c r="F2" s="116"/>
      <c r="G2" s="16"/>
    </row>
    <row r="3" spans="1:7" s="15" customFormat="1" ht="25.5" customHeight="1" x14ac:dyDescent="0.3">
      <c r="A3" s="121" t="s">
        <v>12</v>
      </c>
      <c r="B3" s="393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/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30" t="s">
        <v>242</v>
      </c>
      <c r="B1" s="26" t="s">
        <v>255</v>
      </c>
      <c r="C1" s="63" t="s">
        <v>256</v>
      </c>
    </row>
    <row r="2" spans="1:3" ht="25.5" customHeight="1" x14ac:dyDescent="0.3">
      <c r="A2" s="154" t="s">
        <v>243</v>
      </c>
      <c r="B2" s="33"/>
      <c r="C2" s="34"/>
    </row>
    <row r="3" spans="1:3" ht="25.5" customHeight="1" x14ac:dyDescent="0.3">
      <c r="A3" s="155" t="s">
        <v>244</v>
      </c>
      <c r="B3" s="35"/>
      <c r="C3" s="36"/>
    </row>
    <row r="4" spans="1:3" ht="25.5" customHeight="1" x14ac:dyDescent="0.3">
      <c r="A4" s="155" t="s">
        <v>245</v>
      </c>
      <c r="B4" s="35"/>
      <c r="C4" s="36"/>
    </row>
    <row r="5" spans="1:3" ht="25.5" customHeight="1" x14ac:dyDescent="0.3">
      <c r="A5" s="155" t="s">
        <v>246</v>
      </c>
      <c r="B5" s="35"/>
      <c r="C5" s="36"/>
    </row>
    <row r="6" spans="1:3" ht="25.5" customHeight="1" x14ac:dyDescent="0.3">
      <c r="A6" s="155" t="s">
        <v>247</v>
      </c>
      <c r="B6" s="35"/>
      <c r="C6" s="36"/>
    </row>
    <row r="7" spans="1:3" ht="25.5" customHeight="1" x14ac:dyDescent="0.3">
      <c r="A7" s="155" t="s">
        <v>248</v>
      </c>
      <c r="B7" s="35"/>
      <c r="C7" s="36"/>
    </row>
    <row r="8" spans="1:3" ht="25.5" customHeight="1" x14ac:dyDescent="0.3">
      <c r="A8" s="155" t="s">
        <v>249</v>
      </c>
      <c r="B8" s="35"/>
      <c r="C8" s="36"/>
    </row>
    <row r="9" spans="1:3" ht="25.5" customHeight="1" x14ac:dyDescent="0.3">
      <c r="A9" s="155" t="s">
        <v>250</v>
      </c>
      <c r="B9" s="35"/>
      <c r="C9" s="36"/>
    </row>
    <row r="10" spans="1:3" ht="25.5" customHeight="1" x14ac:dyDescent="0.3">
      <c r="A10" s="155" t="s">
        <v>251</v>
      </c>
      <c r="B10" s="14"/>
      <c r="C10" s="36"/>
    </row>
    <row r="11" spans="1:3" ht="25.5" customHeight="1" x14ac:dyDescent="0.3">
      <c r="A11" s="155" t="s">
        <v>252</v>
      </c>
      <c r="B11" s="14"/>
      <c r="C11" s="36"/>
    </row>
    <row r="12" spans="1:3" ht="25.5" customHeight="1" x14ac:dyDescent="0.3">
      <c r="A12" s="155" t="s">
        <v>253</v>
      </c>
      <c r="B12" s="38"/>
      <c r="C12" s="36"/>
    </row>
    <row r="13" spans="1:3" ht="25.5" customHeight="1" x14ac:dyDescent="0.3">
      <c r="A13" s="155" t="s">
        <v>254</v>
      </c>
      <c r="B13" s="38"/>
      <c r="C13" s="36"/>
    </row>
    <row r="14" spans="1:3" ht="25.5" customHeight="1" thickBot="1" x14ac:dyDescent="0.35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U16" sqref="U16"/>
    </sheetView>
  </sheetViews>
  <sheetFormatPr defaultRowHeight="14.4" x14ac:dyDescent="0.3"/>
  <cols>
    <col min="2" max="2" width="107.5546875" bestFit="1" customWidth="1"/>
    <col min="3" max="3" width="0" hidden="1" customWidth="1"/>
    <col min="4" max="5" width="8.88671875" hidden="1" customWidth="1"/>
    <col min="6" max="6" width="0" hidden="1" customWidth="1"/>
  </cols>
  <sheetData>
    <row r="1" spans="1:5" s="18" customFormat="1" ht="29.25" customHeight="1" thickBot="1" x14ac:dyDescent="0.4">
      <c r="A1" s="431"/>
      <c r="B1" s="432"/>
      <c r="D1" s="160"/>
      <c r="E1" s="159"/>
    </row>
    <row r="2" spans="1:5" s="18" customFormat="1" ht="37.5" customHeight="1" x14ac:dyDescent="0.35">
      <c r="A2" s="157"/>
      <c r="B2" s="158" t="s">
        <v>58</v>
      </c>
      <c r="D2" s="160"/>
      <c r="E2" s="159"/>
    </row>
    <row r="3" spans="1:5" s="18" customFormat="1" ht="37.5" customHeight="1" thickBot="1" x14ac:dyDescent="0.4">
      <c r="A3" s="159"/>
      <c r="B3" s="160" t="s">
        <v>59</v>
      </c>
      <c r="D3" s="162"/>
      <c r="E3" s="161"/>
    </row>
    <row r="4" spans="1:5" s="18" customFormat="1" ht="37.5" customHeight="1" x14ac:dyDescent="0.35">
      <c r="A4" s="159"/>
      <c r="B4" s="160" t="s">
        <v>60</v>
      </c>
    </row>
    <row r="5" spans="1:5" s="18" customFormat="1" ht="37.5" customHeight="1" x14ac:dyDescent="0.35">
      <c r="A5" s="159"/>
      <c r="B5" s="160" t="s">
        <v>61</v>
      </c>
    </row>
    <row r="6" spans="1:5" s="18" customFormat="1" ht="37.5" customHeight="1" x14ac:dyDescent="0.35">
      <c r="A6" s="159"/>
      <c r="B6" s="160" t="s">
        <v>62</v>
      </c>
    </row>
    <row r="7" spans="1:5" s="18" customFormat="1" ht="37.5" customHeight="1" x14ac:dyDescent="0.35">
      <c r="A7" s="159"/>
      <c r="B7" s="160" t="s">
        <v>63</v>
      </c>
    </row>
    <row r="8" spans="1:5" s="18" customFormat="1" ht="37.5" customHeight="1" x14ac:dyDescent="0.35">
      <c r="A8" s="159"/>
      <c r="B8" s="160" t="s">
        <v>64</v>
      </c>
    </row>
    <row r="9" spans="1:5" s="18" customFormat="1" ht="37.5" customHeight="1" x14ac:dyDescent="0.35">
      <c r="A9" s="159"/>
      <c r="B9" s="160" t="s">
        <v>65</v>
      </c>
    </row>
    <row r="10" spans="1:5" s="18" customFormat="1" ht="37.5" customHeight="1" x14ac:dyDescent="0.35">
      <c r="A10" s="159"/>
      <c r="B10" s="160" t="s">
        <v>66</v>
      </c>
    </row>
    <row r="11" spans="1:5" s="18" customFormat="1" ht="37.5" customHeight="1" x14ac:dyDescent="0.35">
      <c r="A11" s="159"/>
      <c r="B11" s="160" t="s">
        <v>67</v>
      </c>
    </row>
    <row r="12" spans="1:5" s="18" customFormat="1" ht="37.5" customHeight="1" x14ac:dyDescent="0.35">
      <c r="A12" s="159"/>
      <c r="B12" s="160" t="s">
        <v>68</v>
      </c>
    </row>
    <row r="13" spans="1:5" s="18" customFormat="1" ht="37.5" customHeight="1" x14ac:dyDescent="0.35">
      <c r="A13" s="159"/>
      <c r="B13" s="160" t="s">
        <v>69</v>
      </c>
    </row>
    <row r="14" spans="1:5" s="18" customFormat="1" ht="37.5" customHeight="1" x14ac:dyDescent="0.35">
      <c r="A14" s="159"/>
      <c r="B14" s="160" t="s">
        <v>70</v>
      </c>
    </row>
    <row r="15" spans="1:5" s="18" customFormat="1" ht="37.5" customHeight="1" x14ac:dyDescent="0.35">
      <c r="A15" s="159"/>
      <c r="B15" s="160" t="s">
        <v>71</v>
      </c>
    </row>
    <row r="16" spans="1:5" s="18" customFormat="1" ht="37.5" customHeight="1" x14ac:dyDescent="0.35">
      <c r="A16" s="159"/>
      <c r="B16" s="160" t="s">
        <v>72</v>
      </c>
    </row>
    <row r="17" spans="1:2" s="18" customFormat="1" ht="37.5" customHeight="1" x14ac:dyDescent="0.35">
      <c r="A17" s="159"/>
      <c r="B17" s="160" t="s">
        <v>73</v>
      </c>
    </row>
    <row r="18" spans="1:2" s="18" customFormat="1" ht="37.5" customHeight="1" x14ac:dyDescent="0.35">
      <c r="A18" s="159"/>
      <c r="B18" s="160" t="s">
        <v>74</v>
      </c>
    </row>
    <row r="19" spans="1:2" s="18" customFormat="1" ht="37.5" customHeight="1" x14ac:dyDescent="0.35">
      <c r="A19" s="159"/>
      <c r="B19" s="160" t="s">
        <v>75</v>
      </c>
    </row>
    <row r="20" spans="1:2" s="18" customFormat="1" ht="37.5" customHeight="1" x14ac:dyDescent="0.35">
      <c r="A20" s="159"/>
      <c r="B20" s="160" t="s">
        <v>76</v>
      </c>
    </row>
    <row r="21" spans="1:2" s="18" customFormat="1" ht="37.5" customHeight="1" x14ac:dyDescent="0.35">
      <c r="A21" s="159"/>
      <c r="B21" s="160" t="s">
        <v>77</v>
      </c>
    </row>
    <row r="22" spans="1:2" s="18" customFormat="1" ht="37.5" customHeight="1" x14ac:dyDescent="0.35">
      <c r="A22" s="159"/>
      <c r="B22" s="160" t="s">
        <v>78</v>
      </c>
    </row>
    <row r="23" spans="1:2" s="18" customFormat="1" ht="37.5" customHeight="1" thickBot="1" x14ac:dyDescent="0.4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activeCell="A2" sqref="A2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0" hidden="1" customWidth="1"/>
    <col min="4" max="4" width="73.6640625" hidden="1" customWidth="1"/>
    <col min="5" max="5" width="8.88671875" hidden="1" customWidth="1"/>
    <col min="6" max="6" width="0" hidden="1" customWidth="1"/>
    <col min="9" max="9" width="158.5546875" hidden="1" customWidth="1"/>
    <col min="10" max="10" width="9.109375" hidden="1" customWidth="1"/>
    <col min="11" max="23" width="0" hidden="1" customWidth="1"/>
  </cols>
  <sheetData>
    <row r="1" spans="1:23" s="20" customFormat="1" ht="29.25" customHeight="1" thickBot="1" x14ac:dyDescent="0.35">
      <c r="A1" s="435" t="s">
        <v>34</v>
      </c>
      <c r="B1" s="436"/>
      <c r="C1" s="17"/>
      <c r="D1" s="164"/>
      <c r="E1" s="159"/>
      <c r="I1" s="158" t="s">
        <v>19</v>
      </c>
      <c r="J1" s="444" t="s">
        <v>19</v>
      </c>
      <c r="K1" s="445"/>
      <c r="L1" s="445"/>
      <c r="M1" s="445"/>
      <c r="N1" s="445"/>
      <c r="O1" s="445"/>
      <c r="P1" s="445"/>
      <c r="Q1" s="445"/>
      <c r="R1" s="445"/>
      <c r="S1" s="445"/>
      <c r="T1" s="445"/>
      <c r="U1" s="445"/>
      <c r="V1" s="445"/>
      <c r="W1" s="445"/>
    </row>
    <row r="2" spans="1:23" s="18" customFormat="1" ht="35.25" customHeight="1" x14ac:dyDescent="0.35">
      <c r="A2" s="157"/>
      <c r="B2" s="158" t="s">
        <v>19</v>
      </c>
      <c r="C2" s="17"/>
      <c r="D2" s="160"/>
      <c r="E2" s="159"/>
      <c r="I2" s="160" t="s">
        <v>20</v>
      </c>
      <c r="J2" s="444" t="s">
        <v>20</v>
      </c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5"/>
      <c r="V2" s="445"/>
      <c r="W2" s="445"/>
    </row>
    <row r="3" spans="1:23" s="18" customFormat="1" ht="35.25" customHeight="1" x14ac:dyDescent="0.35">
      <c r="A3" s="159"/>
      <c r="B3" s="160" t="s">
        <v>20</v>
      </c>
      <c r="C3" s="17"/>
      <c r="D3" s="171"/>
      <c r="E3" s="159"/>
      <c r="I3" s="164" t="s">
        <v>187</v>
      </c>
      <c r="J3" s="443" t="s">
        <v>632</v>
      </c>
      <c r="K3" s="443"/>
      <c r="L3" s="443"/>
      <c r="M3" s="443"/>
      <c r="N3" s="443"/>
      <c r="O3" s="443"/>
      <c r="P3" s="443"/>
      <c r="Q3" s="443"/>
      <c r="R3" s="443"/>
      <c r="S3" s="443"/>
      <c r="T3" s="443"/>
      <c r="U3" s="443"/>
      <c r="V3" s="443"/>
      <c r="W3" s="443"/>
    </row>
    <row r="4" spans="1:23" s="18" customFormat="1" ht="35.25" customHeight="1" x14ac:dyDescent="0.35">
      <c r="A4" s="159"/>
      <c r="B4" s="164" t="s">
        <v>187</v>
      </c>
      <c r="C4" s="17"/>
      <c r="D4" s="160"/>
      <c r="E4" s="155"/>
      <c r="I4" s="164" t="s">
        <v>21</v>
      </c>
      <c r="J4" s="446" t="s">
        <v>21</v>
      </c>
      <c r="K4" s="447"/>
      <c r="L4" s="447"/>
      <c r="M4" s="447"/>
      <c r="N4" s="447"/>
      <c r="O4" s="447"/>
      <c r="P4" s="447"/>
      <c r="Q4" s="447"/>
      <c r="R4" s="447"/>
      <c r="S4" s="447"/>
      <c r="T4" s="447"/>
      <c r="U4" s="447"/>
      <c r="V4" s="447"/>
      <c r="W4" s="448"/>
    </row>
    <row r="5" spans="1:23" s="18" customFormat="1" ht="35.25" customHeight="1" x14ac:dyDescent="0.35">
      <c r="A5" s="159"/>
      <c r="B5" s="164" t="s">
        <v>21</v>
      </c>
      <c r="C5" s="17"/>
      <c r="D5" s="160"/>
      <c r="E5" s="159"/>
      <c r="I5" s="164" t="s">
        <v>22</v>
      </c>
      <c r="J5" s="446" t="s">
        <v>22</v>
      </c>
      <c r="K5" s="447"/>
      <c r="L5" s="447"/>
      <c r="M5" s="447"/>
      <c r="N5" s="447"/>
      <c r="O5" s="447"/>
      <c r="P5" s="447"/>
      <c r="Q5" s="447"/>
      <c r="R5" s="447"/>
      <c r="S5" s="447"/>
      <c r="T5" s="447"/>
      <c r="U5" s="447"/>
      <c r="V5" s="447"/>
      <c r="W5" s="448"/>
    </row>
    <row r="6" spans="1:23" s="18" customFormat="1" ht="35.25" customHeight="1" x14ac:dyDescent="0.35">
      <c r="A6" s="159"/>
      <c r="B6" s="164" t="s">
        <v>22</v>
      </c>
      <c r="C6" s="17"/>
      <c r="D6" s="169"/>
      <c r="E6" s="159"/>
      <c r="I6" s="164" t="s">
        <v>23</v>
      </c>
      <c r="J6" s="441" t="s">
        <v>633</v>
      </c>
      <c r="K6" s="442"/>
      <c r="L6" s="442"/>
      <c r="M6" s="442"/>
      <c r="N6" s="442"/>
      <c r="O6" s="442"/>
      <c r="P6" s="442"/>
      <c r="Q6" s="442"/>
      <c r="R6" s="442"/>
      <c r="S6" s="442"/>
      <c r="T6" s="442"/>
      <c r="U6" s="442"/>
      <c r="V6" s="442"/>
      <c r="W6" s="442"/>
    </row>
    <row r="7" spans="1:23" s="18" customFormat="1" ht="35.25" customHeight="1" thickBot="1" x14ac:dyDescent="0.4">
      <c r="A7" s="159"/>
      <c r="B7" s="164" t="s">
        <v>23</v>
      </c>
      <c r="C7" s="17"/>
      <c r="D7" s="171"/>
      <c r="E7" s="159"/>
      <c r="I7" s="165" t="s">
        <v>24</v>
      </c>
      <c r="J7" s="443" t="s">
        <v>634</v>
      </c>
      <c r="K7" s="443"/>
      <c r="L7" s="443"/>
      <c r="M7" s="443"/>
      <c r="N7" s="443"/>
      <c r="O7" s="443"/>
      <c r="P7" s="443"/>
      <c r="Q7" s="443"/>
      <c r="R7" s="443"/>
      <c r="S7" s="443"/>
      <c r="T7" s="443"/>
      <c r="U7" s="443"/>
      <c r="V7" s="443"/>
      <c r="W7" s="443"/>
    </row>
    <row r="8" spans="1:23" s="18" customFormat="1" ht="35.25" customHeight="1" thickBot="1" x14ac:dyDescent="0.4">
      <c r="A8" s="161"/>
      <c r="B8" s="165" t="s">
        <v>24</v>
      </c>
      <c r="C8" s="17"/>
      <c r="D8" s="160"/>
      <c r="E8" s="155"/>
      <c r="I8" s="167" t="s">
        <v>25</v>
      </c>
      <c r="J8" s="449" t="s">
        <v>635</v>
      </c>
      <c r="K8" s="447"/>
      <c r="L8" s="447"/>
      <c r="M8" s="447"/>
      <c r="N8" s="447"/>
      <c r="O8" s="447"/>
      <c r="P8" s="447"/>
      <c r="Q8" s="447"/>
      <c r="R8" s="447"/>
      <c r="S8" s="447"/>
      <c r="T8" s="447"/>
      <c r="U8" s="447"/>
      <c r="V8" s="447"/>
      <c r="W8" s="448"/>
    </row>
    <row r="9" spans="1:23" s="20" customFormat="1" ht="29.25" customHeight="1" thickBot="1" x14ac:dyDescent="0.35">
      <c r="A9" s="166" t="s">
        <v>35</v>
      </c>
      <c r="B9" s="163"/>
      <c r="C9" s="17"/>
      <c r="D9" s="160"/>
      <c r="E9" s="159"/>
      <c r="I9" s="168" t="s">
        <v>26</v>
      </c>
      <c r="J9" s="449" t="s">
        <v>636</v>
      </c>
      <c r="K9" s="447"/>
      <c r="L9" s="447"/>
      <c r="M9" s="447"/>
      <c r="N9" s="447"/>
      <c r="O9" s="447"/>
      <c r="P9" s="447"/>
      <c r="Q9" s="447"/>
      <c r="R9" s="447"/>
      <c r="S9" s="447"/>
      <c r="T9" s="447"/>
      <c r="U9" s="447"/>
      <c r="V9" s="447"/>
      <c r="W9" s="448"/>
    </row>
    <row r="10" spans="1:23" s="20" customFormat="1" ht="51" customHeight="1" x14ac:dyDescent="0.3">
      <c r="A10" s="159"/>
      <c r="B10" s="167" t="s">
        <v>25</v>
      </c>
      <c r="C10" s="17"/>
      <c r="I10" s="160" t="s">
        <v>27</v>
      </c>
      <c r="J10" s="450" t="s">
        <v>637</v>
      </c>
      <c r="K10" s="451"/>
      <c r="L10" s="451"/>
      <c r="M10" s="451"/>
      <c r="N10" s="451"/>
      <c r="O10" s="451"/>
      <c r="P10" s="451"/>
      <c r="Q10" s="451"/>
      <c r="R10" s="451"/>
      <c r="S10" s="451"/>
      <c r="T10" s="451"/>
      <c r="U10" s="451"/>
      <c r="V10" s="451"/>
      <c r="W10" s="452"/>
    </row>
    <row r="11" spans="1:23" s="20" customFormat="1" ht="51" customHeight="1" x14ac:dyDescent="0.3">
      <c r="A11" s="159"/>
      <c r="B11" s="168" t="s">
        <v>26</v>
      </c>
      <c r="C11" s="17"/>
      <c r="I11" s="160" t="s">
        <v>33</v>
      </c>
      <c r="J11" s="450" t="s">
        <v>638</v>
      </c>
      <c r="K11" s="451"/>
      <c r="L11" s="451"/>
      <c r="M11" s="451"/>
      <c r="N11" s="451"/>
      <c r="O11" s="451"/>
      <c r="P11" s="451"/>
      <c r="Q11" s="451"/>
      <c r="R11" s="451"/>
      <c r="S11" s="451"/>
      <c r="T11" s="451"/>
      <c r="U11" s="451"/>
      <c r="V11" s="451"/>
      <c r="W11" s="452"/>
    </row>
    <row r="12" spans="1:23" s="20" customFormat="1" ht="51" customHeight="1" x14ac:dyDescent="0.3">
      <c r="A12" s="155"/>
      <c r="B12" s="160" t="s">
        <v>27</v>
      </c>
      <c r="C12" s="17"/>
      <c r="I12" s="160" t="s">
        <v>28</v>
      </c>
      <c r="J12" s="450" t="s">
        <v>639</v>
      </c>
      <c r="K12" s="451"/>
      <c r="L12" s="451"/>
      <c r="M12" s="451"/>
      <c r="N12" s="451"/>
      <c r="O12" s="451"/>
      <c r="P12" s="451"/>
      <c r="Q12" s="451"/>
      <c r="R12" s="451"/>
      <c r="S12" s="451"/>
      <c r="T12" s="451"/>
      <c r="U12" s="451"/>
      <c r="V12" s="451"/>
      <c r="W12" s="452"/>
    </row>
    <row r="13" spans="1:23" s="20" customFormat="1" ht="51" customHeight="1" x14ac:dyDescent="0.3">
      <c r="A13" s="159"/>
      <c r="B13" s="160" t="s">
        <v>33</v>
      </c>
      <c r="C13" s="17"/>
      <c r="I13" s="169" t="s">
        <v>29</v>
      </c>
      <c r="J13" s="449" t="s">
        <v>640</v>
      </c>
      <c r="K13" s="447"/>
      <c r="L13" s="447"/>
      <c r="M13" s="447"/>
      <c r="N13" s="447"/>
      <c r="O13" s="447"/>
      <c r="P13" s="447"/>
      <c r="Q13" s="447"/>
      <c r="R13" s="447"/>
      <c r="S13" s="447"/>
      <c r="T13" s="447"/>
      <c r="U13" s="447"/>
      <c r="V13" s="447"/>
      <c r="W13" s="448"/>
    </row>
    <row r="14" spans="1:23" s="18" customFormat="1" ht="51" customHeight="1" x14ac:dyDescent="0.35">
      <c r="A14" s="159"/>
      <c r="B14" s="160" t="s">
        <v>28</v>
      </c>
      <c r="C14" s="17"/>
      <c r="D14" s="19"/>
      <c r="I14" s="170" t="s">
        <v>30</v>
      </c>
      <c r="J14" s="450" t="s">
        <v>641</v>
      </c>
      <c r="K14" s="451"/>
      <c r="L14" s="451"/>
      <c r="M14" s="451"/>
      <c r="N14" s="451"/>
      <c r="O14" s="451"/>
      <c r="P14" s="451"/>
      <c r="Q14" s="451"/>
      <c r="R14" s="451"/>
      <c r="S14" s="451"/>
      <c r="T14" s="451"/>
      <c r="U14" s="451"/>
      <c r="V14" s="451"/>
      <c r="W14" s="452"/>
    </row>
    <row r="15" spans="1:23" s="18" customFormat="1" ht="51" customHeight="1" x14ac:dyDescent="0.35">
      <c r="A15" s="159"/>
      <c r="B15" s="169" t="s">
        <v>29</v>
      </c>
      <c r="C15" s="17"/>
      <c r="D15" s="19"/>
      <c r="I15" s="171" t="s">
        <v>38</v>
      </c>
      <c r="J15" s="453" t="s">
        <v>642</v>
      </c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  <c r="V15" s="454"/>
      <c r="W15" s="455"/>
    </row>
    <row r="16" spans="1:23" s="18" customFormat="1" ht="51" customHeight="1" x14ac:dyDescent="0.35">
      <c r="A16" s="159"/>
      <c r="B16" s="170" t="s">
        <v>30</v>
      </c>
      <c r="C16" s="21"/>
      <c r="D16" s="19"/>
      <c r="I16" s="171" t="s">
        <v>36</v>
      </c>
      <c r="J16" s="449" t="s">
        <v>643</v>
      </c>
      <c r="K16" s="447"/>
      <c r="L16" s="447"/>
      <c r="M16" s="447"/>
      <c r="N16" s="447"/>
      <c r="O16" s="447"/>
      <c r="P16" s="447"/>
      <c r="Q16" s="447"/>
      <c r="R16" s="447"/>
      <c r="S16" s="447"/>
      <c r="T16" s="447"/>
      <c r="U16" s="447"/>
      <c r="V16" s="447"/>
      <c r="W16" s="448"/>
    </row>
    <row r="17" spans="1:23" s="18" customFormat="1" ht="51" customHeight="1" x14ac:dyDescent="0.35">
      <c r="A17" s="159"/>
      <c r="B17" s="171" t="s">
        <v>38</v>
      </c>
      <c r="C17" s="21"/>
      <c r="D17" s="19"/>
      <c r="I17" s="171" t="s">
        <v>37</v>
      </c>
      <c r="J17" s="449" t="s">
        <v>644</v>
      </c>
      <c r="K17" s="447"/>
      <c r="L17" s="447"/>
      <c r="M17" s="447"/>
      <c r="N17" s="447"/>
      <c r="O17" s="447"/>
      <c r="P17" s="447"/>
      <c r="Q17" s="447"/>
      <c r="R17" s="447"/>
      <c r="S17" s="447"/>
      <c r="T17" s="447"/>
      <c r="U17" s="447"/>
      <c r="V17" s="447"/>
      <c r="W17" s="448"/>
    </row>
    <row r="18" spans="1:23" s="18" customFormat="1" ht="51" customHeight="1" x14ac:dyDescent="0.35">
      <c r="A18" s="159"/>
      <c r="B18" s="171" t="s">
        <v>36</v>
      </c>
      <c r="C18" s="21"/>
      <c r="D18" s="19"/>
      <c r="I18" s="169" t="s">
        <v>31</v>
      </c>
      <c r="J18" s="453" t="s">
        <v>645</v>
      </c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  <c r="V18" s="454"/>
      <c r="W18" s="455"/>
    </row>
    <row r="19" spans="1:23" s="18" customFormat="1" ht="51" customHeight="1" thickBot="1" x14ac:dyDescent="0.4">
      <c r="A19" s="159"/>
      <c r="B19" s="171" t="s">
        <v>37</v>
      </c>
      <c r="C19" s="21"/>
      <c r="D19" s="19"/>
      <c r="I19" s="172" t="s">
        <v>32</v>
      </c>
      <c r="J19" s="449" t="s">
        <v>646</v>
      </c>
      <c r="K19" s="447"/>
      <c r="L19" s="447"/>
      <c r="M19" s="447"/>
      <c r="N19" s="447"/>
      <c r="O19" s="447"/>
      <c r="P19" s="447"/>
      <c r="Q19" s="447"/>
      <c r="R19" s="447"/>
      <c r="S19" s="447"/>
      <c r="T19" s="447"/>
      <c r="U19" s="447"/>
      <c r="V19" s="447"/>
      <c r="W19" s="448"/>
    </row>
    <row r="20" spans="1:23" s="18" customFormat="1" ht="51" customHeight="1" x14ac:dyDescent="0.35">
      <c r="A20" s="159"/>
      <c r="B20" s="169" t="s">
        <v>31</v>
      </c>
      <c r="C20" s="22"/>
      <c r="D20" s="19"/>
    </row>
    <row r="21" spans="1:23" s="18" customFormat="1" ht="51" customHeight="1" thickBot="1" x14ac:dyDescent="0.4">
      <c r="A21" s="161"/>
      <c r="B21" s="172" t="s">
        <v>32</v>
      </c>
      <c r="C21" s="23"/>
      <c r="D21" s="19"/>
    </row>
    <row r="22" spans="1:23" s="18" customFormat="1" ht="29.25" customHeight="1" thickBot="1" x14ac:dyDescent="0.4">
      <c r="A22" s="431" t="s">
        <v>56</v>
      </c>
      <c r="B22" s="432"/>
      <c r="D22" s="19"/>
    </row>
    <row r="23" spans="1:23" s="15" customFormat="1" ht="29.25" customHeight="1" x14ac:dyDescent="0.3">
      <c r="A23" s="437"/>
      <c r="B23" s="438"/>
      <c r="D23" s="16"/>
    </row>
    <row r="24" spans="1:23" s="15" customFormat="1" ht="29.25" customHeight="1" x14ac:dyDescent="0.3">
      <c r="A24" s="439"/>
      <c r="B24" s="440"/>
      <c r="D24" s="16"/>
    </row>
    <row r="25" spans="1:23" s="15" customFormat="1" ht="29.25" customHeight="1" x14ac:dyDescent="0.3">
      <c r="A25" s="439"/>
      <c r="B25" s="440"/>
      <c r="D25" s="16"/>
    </row>
    <row r="26" spans="1:23" s="15" customFormat="1" ht="29.25" customHeight="1" x14ac:dyDescent="0.3">
      <c r="A26" s="439"/>
      <c r="B26" s="440"/>
      <c r="D26" s="16"/>
    </row>
    <row r="27" spans="1:23" s="15" customFormat="1" ht="29.25" customHeight="1" thickBot="1" x14ac:dyDescent="0.35">
      <c r="A27" s="433"/>
      <c r="B27" s="434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15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2012-11-08T17:41:28Z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