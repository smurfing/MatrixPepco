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Lighting'!$A$1:$T$18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AD7" i="2" l="1"/>
  <c r="I2" i="4"/>
  <c r="AV3" i="12" l="1"/>
  <c r="AV4" i="12"/>
  <c r="AV5" i="12"/>
  <c r="AV6" i="12"/>
  <c r="AV7" i="12"/>
  <c r="AV8" i="12"/>
  <c r="AV9" i="12"/>
  <c r="AV10" i="12"/>
  <c r="AV11" i="12"/>
  <c r="AV12" i="12"/>
  <c r="AV13" i="12"/>
  <c r="AV14" i="12"/>
  <c r="AV15" i="12"/>
  <c r="AV16" i="12"/>
  <c r="AB6" i="5" l="1"/>
  <c r="AB7" i="5"/>
  <c r="AB8" i="5"/>
  <c r="AB9" i="5"/>
  <c r="AB10" i="5"/>
  <c r="AB11" i="5"/>
  <c r="I3" i="15"/>
  <c r="I2" i="15"/>
  <c r="N2" i="14"/>
  <c r="N3" i="14" l="1"/>
  <c r="N4" i="14"/>
  <c r="AX16" i="12" l="1"/>
  <c r="AD11" i="5"/>
  <c r="AC11" i="5" s="1"/>
  <c r="AD10" i="5"/>
  <c r="AD9" i="5"/>
  <c r="AC9" i="5" s="1"/>
  <c r="AD8" i="5"/>
  <c r="AC8" i="5" s="1"/>
  <c r="AD7" i="5"/>
  <c r="AC7" i="5" s="1"/>
  <c r="AD6" i="5"/>
  <c r="AC6" i="5" s="1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BA15" i="12"/>
  <c r="BA14" i="12"/>
  <c r="BA13" i="12"/>
  <c r="BA12" i="12"/>
  <c r="BA11" i="12"/>
  <c r="BA10" i="12"/>
  <c r="BA9" i="12"/>
  <c r="BA8" i="12"/>
  <c r="BA7" i="12"/>
  <c r="BA6" i="12"/>
  <c r="BA5" i="12"/>
  <c r="BA4" i="12"/>
  <c r="BA3" i="12"/>
  <c r="BA2" i="12"/>
  <c r="AZ15" i="12"/>
  <c r="AZ14" i="12"/>
  <c r="AZ13" i="12"/>
  <c r="AZ12" i="12"/>
  <c r="AZ11" i="12"/>
  <c r="AZ10" i="12"/>
  <c r="AZ9" i="12"/>
  <c r="AZ8" i="12"/>
  <c r="AZ7" i="12"/>
  <c r="AZ6" i="12"/>
  <c r="AZ5" i="12"/>
  <c r="AZ4" i="12"/>
  <c r="AZ3" i="12"/>
  <c r="AZ2" i="12"/>
  <c r="AY15" i="12"/>
  <c r="AY14" i="12"/>
  <c r="AY13" i="12"/>
  <c r="AY12" i="12"/>
  <c r="AY11" i="12"/>
  <c r="AY10" i="12"/>
  <c r="AY9" i="12"/>
  <c r="AY8" i="12"/>
  <c r="AY7" i="12"/>
  <c r="AY6" i="12"/>
  <c r="AY5" i="12"/>
  <c r="AY4" i="12"/>
  <c r="AY3" i="12"/>
  <c r="AY2" i="12"/>
  <c r="AX15" i="12"/>
  <c r="AX14" i="12"/>
  <c r="AX13" i="12"/>
  <c r="AX12" i="12"/>
  <c r="AX11" i="12"/>
  <c r="AX10" i="12"/>
  <c r="AX9" i="12"/>
  <c r="AX8" i="12"/>
  <c r="AX7" i="12"/>
  <c r="AX6" i="12"/>
  <c r="AX5" i="12"/>
  <c r="AX4" i="12"/>
  <c r="AX3" i="12"/>
  <c r="AX2" i="12"/>
  <c r="AB4" i="5" l="1"/>
  <c r="AB5" i="5"/>
  <c r="AB3" i="5"/>
  <c r="AV2" i="12"/>
  <c r="AB2" i="5"/>
  <c r="AW5" i="12"/>
  <c r="AW6" i="12"/>
  <c r="AW13" i="12"/>
  <c r="AW14" i="12"/>
  <c r="AW7" i="12"/>
  <c r="AW8" i="12"/>
  <c r="AW16" i="12"/>
  <c r="AW9" i="12"/>
  <c r="AW12" i="12"/>
  <c r="AW4" i="12"/>
  <c r="AW2" i="12"/>
  <c r="AW11" i="12"/>
  <c r="AW3" i="12"/>
  <c r="AW10" i="12"/>
  <c r="AC2" i="5"/>
  <c r="AC10" i="5"/>
  <c r="AC3" i="5"/>
  <c r="AC4" i="5"/>
  <c r="AW15" i="12"/>
  <c r="AC5" i="5"/>
  <c r="K71" i="18"/>
  <c r="K32" i="18"/>
  <c r="K31" i="18"/>
  <c r="M14" i="12" l="1"/>
  <c r="M15" i="12"/>
  <c r="M16" i="12"/>
  <c r="M13" i="12"/>
  <c r="M12" i="12"/>
  <c r="M11" i="12"/>
  <c r="M10" i="12"/>
  <c r="M9" i="12"/>
  <c r="M8" i="12"/>
  <c r="G2" i="4" l="1"/>
  <c r="G3" i="4" s="1"/>
  <c r="F2" i="4"/>
  <c r="F3" i="4" s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K14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<sst xmlns="http://schemas.openxmlformats.org/spreadsheetml/2006/main" count="1213" uniqueCount="753">
  <si>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</si>
  <si>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</si>
  <si>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</si>
  <si>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</si>
  <si>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</si>
  <si>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</si>
  <si>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</si>
  <si>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</si>
  <si>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</si>
  <si>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</si>
  <si>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</si>
  <si>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</si>
  <si>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</si>
  <si>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</si>
  <si>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</si>
  <si>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</si>
  <si>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</si>
  <si>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</si>
  <si>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</si>
  <si>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</si>
  <si>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</si>
  <si>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</si>
  <si>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</si>
  <si>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</si>
  <si>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</si>
  <si>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</si>
  <si>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</si>
  <si>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</si>
  <si>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</si>
  <si>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</si>
  <si>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</si>
  <si>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</si>
  <si>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</si>
  <si>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</si>
  <si>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</si>
  <si>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</si>
  <si>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</si>
  <si>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</si>
  <si>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</si>
  <si>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</si>
  <si>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</si>
  <si>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</si>
  <si>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</si>
  <si>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</si>
  <si>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</si>
  <si>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</si>
  <si>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</si>
  <si>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</si>
  <si>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</si>
  <si>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</si>
  <si>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</si>
  <si>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</si>
  <si>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</si>
  <si>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</si>
  <si>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</si>
  <si>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</si>
  <si>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</si>
  <si>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</si>
  <si>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</si>
  <si>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</si>
  <si>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</si>
  <si>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</si>
  <si>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</si>
  <si>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</si>
  <si>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</si>
  <si>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</si>
  <si>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</si>
  <si>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</si>
  <si>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</si>
  <si>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</si>
  <si>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</si>
  <si>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</si>
  <si>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</si>
  <si>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</si>
  <si>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</si>
  <si>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</si>
  <si>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</si>
  <si>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</si>
  <si>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</si>
  <si>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</si>
  <si>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</si>
  <si>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</si>
  <si>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</si>
  <si>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</si>
  <si>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</si>
  <si>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</si>
  <si>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</si>
  <si>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</si>
  <si>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</si>
  <si>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</si>
  <si>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</si>
  <si>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</si>
  <si>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</si>
  <si>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</si>
  <si>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</si>
  <si>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</si>
  <si>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</si>
  <si>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</si>
  <si>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</si>
  <si>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</si>
  <si>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</si>
  <si>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</si>
  <si>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</si>
  <si>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</si>
  <si>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</si>
  <si>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</si>
  <si>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</si>
  <si>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</si>
  <si>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</si>
  <si>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</si>
  <si>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</si>
  <si>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</si>
  <si>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</si>
  <si>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</si>
  <si>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</si>
  <si>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</si>
  <si>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</si>
  <si>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</si>
  <si>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</si>
  <si>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</si>
  <si>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</si>
  <si>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</si>
  <si>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</si>
  <si>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</si>
  <si>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</si>
  <si>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</si>
  <si>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</si>
  <si>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</si>
  <si>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</si>
  <si>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</si>
  <si>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</si>
  <si>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</si>
  <si>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</si>
  <si>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</si>
  <si>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</si>
  <si>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</si>
  <si>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</si>
  <si>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</si>
  <si>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</si>
  <si>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</si>
  <si>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</si>
  <si>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</si>
  <si>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</si>
  <si>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</si>
  <si>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</si>
  <si>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</si>
  <si>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</si>
  <si>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</si>
  <si>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</si>
  <si>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</si>
  <si>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</si>
  <si>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</si>
  <si>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</si>
  <si>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</si>
  <si>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</si>
  <si>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</si>
  <si>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</si>
  <si>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</si>
  <si>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</si>
  <si>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</si>
  <si>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</si>
  <si>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</si>
  <si>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</si>
  <si>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</si>
  <si>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</si>
  <si>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</si>
  <si>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</si>
  <si>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</si>
  <si>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</si>
  <si>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</si>
  <si>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</si>
  <si>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</si>
  <si>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</si>
  <si>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</si>
  <si>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</si>
  <si>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</si>
  <si>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</si>
  <si>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</si>
  <si>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</si>
  <si>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</si>
  <si>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</si>
  <si>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</si>
  <si>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</si>
  <si>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</si>
  <si>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</si>
  <si>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</si>
  <si>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</si>
  <si>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</si>
  <si>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</si>
  <si>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</si>
  <si>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</si>
  <si>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</si>
  <si>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</si>
  <si>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</si>
  <si>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</si>
  <si>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</si>
  <si>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</si>
  <si>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</si>
  <si>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</si>
  <si>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</si>
  <si>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</si>
  <si>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</si>
  <si>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</si>
  <si>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</si>
  <si>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</si>
  <si>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</si>
  <si>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</si>
  <si>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</si>
  <si>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</si>
  <si>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</si>
  <si>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</si>
  <si>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</si>
  <si>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</si>
  <si>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</si>
  <si>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</si>
  <si>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</si>
  <si>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</si>
  <si>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</si>
  <si>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</si>
  <si>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</si>
  <si>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</si>
  <si>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</si>
  <si>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</si>
  <si>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</si>
  <si>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</si>
  <si>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</si>
  <si>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</si>
  <si>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</si>
  <si>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</si>
  <si>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</si>
  <si>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</si>
  <si>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</si>
  <si>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</si>
  <si>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</si>
  <si>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</si>
  <si>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</si>
  <si>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</si>
  <si>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</si>
  <si>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</si>
  <si>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</si>
  <si>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</si>
  <si>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</si>
  <si>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</si>
  <si>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</si>
  <si>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</si>
  <si>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</si>
  <si>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</si>
  <si>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</si>
  <si>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</si>
  <si>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</si>
  <si>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</si>
  <si>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</si>
  <si>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</si>
  <si>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</si>
  <si>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</si>
  <si>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</si>
  <si>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</si>
  <si>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</si>
  <si>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</si>
  <si>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</si>
  <si>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</si>
  <si>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</si>
  <si>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</si>
  <si>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</si>
  <si>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</si>
  <si>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</si>
  <si>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</si>
  <si>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</si>
  <si>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</si>
  <si>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</si>
  <si>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</si>
  <si>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</si>
  <si>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</si>
  <si>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</si>
  <si>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</si>
  <si>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</si>
  <si>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</si>
  <si>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</si>
  <si>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</si>
  <si>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</si>
  <si>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</si>
  <si>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</si>
  <si>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</si>
  <si>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</si>
  <si>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</si>
  <si>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</si>
  <si>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</si>
  <si>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</si>
  <si>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</si>
  <si>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</si>
  <si>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</si>
  <si>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</si>
  <si>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</si>
  <si>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</si>
  <si>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</si>
  <si>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</si>
  <si>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</si>
  <si>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</si>
  <si>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</si>
  <si>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</si>
  <si>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</si>
  <si>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</si>
  <si>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</si>
  <si>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</si>
  <si>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</si>
  <si>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</si>
  <si>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</si>
  <si>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</si>
  <si>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</si>
  <si>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</si>
  <si>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</si>
  <si>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</si>
  <si>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</si>
  <si>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</si>
  <si>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</si>
  <si>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</si>
  <si>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</si>
  <si>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</si>
  <si>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</si>
  <si>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</si>
  <si>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</si>
  <si>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</si>
  <si>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</si>
  <si>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</si>
  <si>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</si>
  <si>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</si>
  <si>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</si>
  <si>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</si>
  <si>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</si>
  <si>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</si>
  <si>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</si>
  <si>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</si>
  <si>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</si>
  <si>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</si>
  <si>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</si>
  <si>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</si>
  <si>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</si>
  <si>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</si>
  <si>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</si>
  <si>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</si>
  <si>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</si>
  <si>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</si>
  <si>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</si>
  <si>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</si>
  <si>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</si>
  <si>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</si>
  <si>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</si>
  <si>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</si>
  <si>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</si>
  <si>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</si>
  <si>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</si>
  <si>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</si>
  <si>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</si>
  <si>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</si>
  <si>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</si>
  <si>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</si>
  <si>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</si>
  <si>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</si>
  <si>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</si>
  <si>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</si>
  <si>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</si>
  <si>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</si>
  <si>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</si>
  <si>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</si>
  <si>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</si>
  <si>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</si>
  <si>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</si>
  <si>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</si>
  <si>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</si>
  <si>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</si>
  <si>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</si>
  <si>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</si>
  <si>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</si>
  <si>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</si>
  <si>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</si>
  <si>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</si>
  <si>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</si>
  <si>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</si>
  <si>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</si>
  <si>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</si>
  <si>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</si>
  <si>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</si>
  <si>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</si>
  <si>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</si>
  <si>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</si>
  <si>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</si>
  <si>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</si>
  <si>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</si>
  <si>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</si>
  <si>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</si>
  <si>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</si>
  <si>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</si>
  <si>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</si>
  <si>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</si>
  <si>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</si>
  <si>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</si>
  <si>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</si>
  <si>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</si>
  <si>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</si>
  <si>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</si>
  <si>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</si>
  <si>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</si>
  <si>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</si>
  <si>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</si>
  <si>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</si>
  <si>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</si>
  <si>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</si>
  <si>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</si>
  <si>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</si>
  <si>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</si>
  <si>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</si>
  <si>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</si>
  <si>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</si>
  <si>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</si>
  <si>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</si>
  <si>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</si>
  <si>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</si>
  <si>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</si>
  <si>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</si>
  <si>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</si>
  <si>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</si>
  <si>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</si>
  <si>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</si>
  <si>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</si>
  <si>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</si>
  <si>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</si>
  <si>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</si>
  <si>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</si>
  <si>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</si>
  <si>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</si>
  <si>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</si>
  <si>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</si>
  <si>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</si>
  <si>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</si>
  <si>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</si>
  <si>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</si>
  <si>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</si>
  <si>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</si>
  <si>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</si>
  <si>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</si>
  <si>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</si>
  <si>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</si>
  <si>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</si>
  <si>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</si>
  <si>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</si>
  <si>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</si>
  <si>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</si>
  <si>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</si>
  <si>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</si>
  <si>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</si>
  <si>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</si>
  <si>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</si>
  <si>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</si>
  <si>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</si>
  <si>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</si>
  <si>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</si>
  <si>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</si>
  <si>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</si>
  <si>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</si>
  <si>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</si>
  <si>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</si>
  <si>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</si>
  <si>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</si>
  <si>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</si>
  <si>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</si>
  <si>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</si>
  <si>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</si>
  <si>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</si>
  <si>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</si>
  <si>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</si>
  <si>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</si>
  <si>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</si>
  <si>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</si>
  <si>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</si>
  <si>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</si>
  <si>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</si>
  <si>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</si>
  <si>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</si>
  <si>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</si>
  <si>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</si>
  <si>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</si>
  <si>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</si>
  <si>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</si>
  <si>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</si>
  <si>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</si>
  <si>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</si>
  <si>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</si>
  <si>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</si>
  <si>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</si>
  <si>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</si>
  <si>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</si>
  <si>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</si>
  <si>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</si>
  <si>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</si>
  <si>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</si>
  <si>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</si>
  <si>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</si>
  <si>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</si>
  <si>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</si>
  <si>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</si>
  <si>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</si>
  <si>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</si>
  <si>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</si>
  <si>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</si>
  <si>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</si>
  <si>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</si>
  <si>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</si>
  <si>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</si>
  <si>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</si>
  <si>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</si>
  <si>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</si>
  <si>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</si>
  <si>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</si>
  <si>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</si>
  <si>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</si>
  <si>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</si>
  <si>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</si>
  <si>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</si>
  <si>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</si>
  <si>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</si>
  <si>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</si>
  <si>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</si>
  <si>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</si>
  <si>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</si>
  <si>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</si>
  <si>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</si>
  <si>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</si>
  <si>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</si>
  <si>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</si>
  <si>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</si>
  <si>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</si>
  <si>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</si>
  <si>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</si>
  <si>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</si>
  <si>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</si>
  <si>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</si>
  <si>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</si>
  <si>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</si>
  <si>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</si>
  <si>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</si>
  <si>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</si>
  <si>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</si>
  <si>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</si>
  <si>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</si>
  <si>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</si>
  <si>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</si>
  <si>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</si>
  <si>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</si>
  <si>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</si>
  <si>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</si>
  <si>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</si>
  <si>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</si>
  <si>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</si>
  <si>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</si>
  <si>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</si>
  <si>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</si>
  <si>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</si>
  <si>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</si>
  <si>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</si>
  <si>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</si>
  <si>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</si>
  <si>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</si>
  <si>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</si>
  <si>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</si>
  <si>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</si>
  <si>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</si>
  <si>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</si>
  <si>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</si>
  <si>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</si>
  <si>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</si>
  <si>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</si>
  <si>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</si>
  <si>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</si>
  <si>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</si>
  <si>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</si>
  <si>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</si>
  <si>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</si>
  <si>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</si>
  <si>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</si>
  <si>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</si>
  <si>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</si>
  <si>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</si>
  <si>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</si>
  <si>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</si>
  <si>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</si>
  <si>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</si>
  <si>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</si>
  <si>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</si>
  <si>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</si>
  <si>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</si>
  <si>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</si>
  <si>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</si>
  <si>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</si>
  <si>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</si>
  <si>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</si>
  <si>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</si>
  <si>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</si>
  <si>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</si>
  <si>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</si>
  <si>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</si>
  <si>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</si>
  <si>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</si>
  <si>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</si>
  <si>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</si>
  <si>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</si>
  <si>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</si>
  <si>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</si>
  <si>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</si>
  <si>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</si>
  <si>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</si>
  <si>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</si>
  <si>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</si>
  <si>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</si>
  <si>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</si>
  <si>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</si>
  <si>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</si>
  <si>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</si>
  <si>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</si>
  <si>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</si>
  <si>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</si>
  <si>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</si>
  <si>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</si>
  <si>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</si>
  <si>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</si>
  <si>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</si>
  <si>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</si>
  <si>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</si>
  <si>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</si>
  <si>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</si>
  <si>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</si>
  <si>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</si>
  <si>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</si>
  <si>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</si>
  <si>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</si>
  <si>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</si>
  <si>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</si>
  <si>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</si>
  <si>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</si>
  <si>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</si>
  <si>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</si>
  <si>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</si>
  <si>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</si>
  <si>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</si>
  <si>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</si>
  <si>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</si>
  <si>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</si>
  <si>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</si>
  <si>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</si>
  <si>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</si>
  <si>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</si>
  <si>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</si>
  <si>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</si>
  <si>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</si>
  <si>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</si>
  <si>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</si>
  <si>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</si>
  <si>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</si>
  <si>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</si>
  <si>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</si>
  <si>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</si>
  <si>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</si>
  <si>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</si>
  <si>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</si>
  <si>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</si>
  <si>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</si>
  <si>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</si>
  <si>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</si>
  <si>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</si>
  <si>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</si>
  <si>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</si>
  <si>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</si>
  <si>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</si>
  <si>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</si>
  <si>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</si>
  <si>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</si>
  <si>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</si>
  <si>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</si>
  <si>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</si>
  <si>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</si>
  <si>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</si>
  <si>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</si>
  <si>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</si>
  <si>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</si>
  <si>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</si>
  <si>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</si>
  <si>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</si>
  <si>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</si>
  <si>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</si>
  <si>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</si>
  <si>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</si>
  <si>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</si>
  <si>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</si>
  <si>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</si>
  <si>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</si>
  <si>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</si>
  <si>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</si>
  <si>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</si>
  <si>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</si>
  <si>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</si>
  <si>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</si>
  <si>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</si>
  <si>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</si>
  <si>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</si>
  <si>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</si>
  <si>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</si>
  <si>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</si>
  <si>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</si>
  <si>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</si>
  <si>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</si>
  <si>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</si>
  <si>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</si>
  <si>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</si>
  <si>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</si>
  <si>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</si>
  <si>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</si>
  <si>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</si>
  <si>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</si>
  <si>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</si>
  <si>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</si>
  <si>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</si>
  <si>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</si>
  <si>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</si>
  <si>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</si>
  <si>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</si>
  <si>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</si>
  <si>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</si>
  <si>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</si>
  <si>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</si>
  <si>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</si>
  <si>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</si>
  <si>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</si>
  <si>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</si>
  <si>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</si>
  <si>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&lt;- These 2 Fill out Automatically Now</t>
  </si>
  <si>
    <t>For T12, T8, and T5, you must also supply Size and Quantity.</t>
  </si>
  <si>
    <t>For everything else, you must supply Watts and Quantity.</t>
  </si>
  <si>
    <t>Note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</si>
  <si>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</si>
  <si>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</si>
  <si>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</si>
  <si>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</si>
  <si>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</si>
  <si>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</si>
  <si>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</si>
  <si>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</si>
  <si>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</si>
  <si>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v2.1.1</t>
  </si>
  <si>
    <t>CFL, 23</t>
  </si>
  <si>
    <t>Outdoor Lighting 0</t>
  </si>
  <si>
    <t>Outdoor Lighting 1</t>
  </si>
  <si>
    <t>Outdoor Lighting 2</t>
  </si>
  <si>
    <t>Outdoor Lighting 3</t>
  </si>
  <si>
    <t>Indoor Lighting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</si>
</sst>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5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b/>
      <sz val="15"/>
      <color theme="1" tint="4.9989318521683403E-2"/>
      <name val="Arial"/>
      <family val="2"/>
    </font>
    <font>
      <b/>
      <sz val="20"/>
      <color theme="4" tint="-0.499984740745262"/>
      <name val="Calibri"/>
      <family val="2"/>
      <scheme val="minor"/>
    </font>
    <font>
      <sz val="36"/>
      <color rgb="FF000000"/>
      <name val="Calibri"/>
      <family val="2"/>
    </font>
    <font>
      <sz val="10"/>
      <color rgb="FF0070C0"/>
      <name val="Arial"/>
      <family val="2"/>
    </font>
    <font>
      <sz val="10"/>
      <color rgb="FF0000FF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7" fillId="0" borderId="0"/>
    <xf numFmtId="0" fontId="39" fillId="0" borderId="0" applyNumberFormat="0" applyFill="0" applyBorder="0" applyAlignment="0" applyProtection="0"/>
    <xf numFmtId="0" fontId="40" fillId="0" borderId="0"/>
    <xf numFmtId="0" fontId="40" fillId="0" borderId="0"/>
    <xf numFmtId="0" fontId="40" fillId="8" borderId="0" applyNumberFormat="0" applyBorder="0" applyAlignment="0" applyProtection="0"/>
    <xf numFmtId="0" fontId="37" fillId="0" borderId="0"/>
  </cellStyleXfs>
  <cellXfs count="460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1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1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1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2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2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4" fillId="2" borderId="39" xfId="0" applyNumberFormat="1" applyFont="1" applyFill="1" applyBorder="1" applyAlignment="1">
      <alignment horizontal="left"/>
    </xf>
    <xf numFmtId="0" fontId="24" fillId="2" borderId="39" xfId="0" applyFont="1" applyFill="1" applyBorder="1" applyAlignment="1">
      <alignment horizontal="left"/>
    </xf>
    <xf numFmtId="0" fontId="23" fillId="2" borderId="39" xfId="0" applyFont="1" applyFill="1" applyBorder="1" applyAlignment="1">
      <alignment horizontal="right"/>
    </xf>
    <xf numFmtId="0" fontId="23" fillId="2" borderId="39" xfId="0" applyFont="1" applyFill="1" applyBorder="1" applyAlignment="1">
      <alignment horizontal="center" wrapText="1"/>
    </xf>
    <xf numFmtId="0" fontId="25" fillId="2" borderId="0" xfId="0" applyFont="1" applyFill="1" applyAlignment="1">
      <alignment horizontal="left" vertical="center"/>
    </xf>
    <xf numFmtId="0" fontId="25" fillId="2" borderId="0" xfId="0" applyFont="1" applyFill="1" applyBorder="1"/>
    <xf numFmtId="0" fontId="25" fillId="2" borderId="0" xfId="0" applyFont="1" applyFill="1" applyBorder="1" applyAlignment="1">
      <alignment horizontal="left" vertical="center"/>
    </xf>
    <xf numFmtId="0" fontId="23" fillId="2" borderId="21" xfId="0" applyFont="1" applyFill="1" applyBorder="1" applyAlignment="1">
      <alignment horizontal="right"/>
    </xf>
    <xf numFmtId="0" fontId="24" fillId="2" borderId="0" xfId="0" applyFont="1" applyFill="1" applyBorder="1" applyAlignment="1"/>
    <xf numFmtId="0" fontId="23" fillId="2" borderId="0" xfId="0" applyFont="1" applyFill="1" applyBorder="1" applyAlignment="1">
      <alignment horizontal="right"/>
    </xf>
    <xf numFmtId="0" fontId="25" fillId="2" borderId="0" xfId="0" applyFont="1" applyFill="1" applyBorder="1" applyAlignment="1"/>
    <xf numFmtId="0" fontId="23" fillId="2" borderId="21" xfId="0" applyFont="1" applyFill="1" applyBorder="1" applyAlignment="1">
      <alignment horizontal="center" wrapText="1"/>
    </xf>
    <xf numFmtId="0" fontId="24" fillId="2" borderId="0" xfId="0" applyFont="1" applyFill="1" applyBorder="1" applyAlignment="1">
      <alignment vertical="center"/>
    </xf>
    <xf numFmtId="0" fontId="24" fillId="2" borderId="0" xfId="0" applyFont="1" applyFill="1" applyBorder="1" applyAlignment="1">
      <alignment horizontal="left" vertical="center"/>
    </xf>
    <xf numFmtId="0" fontId="24" fillId="2" borderId="17" xfId="0" applyFont="1" applyFill="1" applyBorder="1" applyAlignment="1">
      <alignment horizontal="left" vertical="center"/>
    </xf>
    <xf numFmtId="0" fontId="24" fillId="2" borderId="0" xfId="0" applyFont="1" applyFill="1" applyBorder="1"/>
    <xf numFmtId="0" fontId="23" fillId="2" borderId="0" xfId="0" applyFont="1" applyFill="1" applyBorder="1" applyAlignment="1"/>
    <xf numFmtId="0" fontId="23" fillId="2" borderId="0" xfId="0" applyFont="1" applyFill="1" applyBorder="1" applyAlignment="1">
      <alignment wrapText="1"/>
    </xf>
    <xf numFmtId="0" fontId="25" fillId="2" borderId="17" xfId="0" applyFont="1" applyFill="1" applyBorder="1"/>
    <xf numFmtId="0" fontId="25" fillId="2" borderId="0" xfId="0" applyFont="1" applyFill="1"/>
    <xf numFmtId="0" fontId="25" fillId="2" borderId="0" xfId="0" applyFont="1" applyFill="1" applyBorder="1" applyAlignment="1">
      <alignment horizontal="right"/>
    </xf>
    <xf numFmtId="0" fontId="25" fillId="2" borderId="21" xfId="0" applyFont="1" applyFill="1" applyBorder="1"/>
    <xf numFmtId="0" fontId="24" fillId="2" borderId="0" xfId="0" applyFont="1" applyFill="1" applyBorder="1" applyAlignment="1">
      <alignment horizontal="center"/>
    </xf>
    <xf numFmtId="0" fontId="23" fillId="2" borderId="21" xfId="0" applyFont="1" applyFill="1" applyBorder="1" applyAlignment="1">
      <alignment horizontal="left" vertical="center"/>
    </xf>
    <xf numFmtId="0" fontId="23" fillId="2" borderId="38" xfId="0" applyFont="1" applyFill="1" applyBorder="1" applyAlignment="1">
      <alignment horizontal="left"/>
    </xf>
    <xf numFmtId="0" fontId="25" fillId="2" borderId="39" xfId="0" applyFont="1" applyFill="1" applyBorder="1"/>
    <xf numFmtId="0" fontId="23" fillId="2" borderId="21" xfId="0" applyFont="1" applyFill="1" applyBorder="1" applyAlignment="1">
      <alignment horizontal="left"/>
    </xf>
    <xf numFmtId="0" fontId="23" fillId="2" borderId="17" xfId="0" applyFont="1" applyFill="1" applyBorder="1" applyAlignment="1">
      <alignment wrapText="1"/>
    </xf>
    <xf numFmtId="0" fontId="23" fillId="2" borderId="21" xfId="0" applyFont="1" applyFill="1" applyBorder="1" applyAlignment="1">
      <alignment horizontal="right" vertical="center" wrapText="1"/>
    </xf>
    <xf numFmtId="0" fontId="25" fillId="2" borderId="0" xfId="0" applyFont="1" applyFill="1" applyBorder="1" applyAlignment="1">
      <alignment horizontal="center"/>
    </xf>
    <xf numFmtId="0" fontId="23" fillId="2" borderId="18" xfId="0" applyFont="1" applyFill="1" applyBorder="1" applyAlignment="1">
      <alignment horizontal="center" wrapText="1"/>
    </xf>
    <xf numFmtId="0" fontId="23" fillId="2" borderId="19" xfId="0" applyFont="1" applyFill="1" applyBorder="1" applyAlignment="1">
      <alignment horizontal="center" wrapText="1"/>
    </xf>
    <xf numFmtId="0" fontId="23" fillId="2" borderId="20" xfId="0" applyFont="1" applyFill="1" applyBorder="1" applyAlignment="1">
      <alignment horizontal="center" wrapText="1"/>
    </xf>
    <xf numFmtId="0" fontId="23" fillId="2" borderId="0" xfId="0" applyFont="1" applyFill="1" applyBorder="1" applyAlignment="1">
      <alignment horizontal="center" wrapText="1"/>
    </xf>
    <xf numFmtId="0" fontId="25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4" fillId="2" borderId="19" xfId="0" applyFont="1" applyFill="1" applyBorder="1"/>
    <xf numFmtId="0" fontId="24" fillId="2" borderId="19" xfId="0" applyFont="1" applyFill="1" applyBorder="1" applyAlignment="1">
      <alignment horizontal="center"/>
    </xf>
    <xf numFmtId="0" fontId="23" fillId="2" borderId="19" xfId="0" applyFont="1" applyFill="1" applyBorder="1" applyAlignment="1">
      <alignment wrapText="1"/>
    </xf>
    <xf numFmtId="0" fontId="23" fillId="2" borderId="20" xfId="0" applyFont="1" applyFill="1" applyBorder="1" applyAlignment="1">
      <alignment wrapText="1"/>
    </xf>
    <xf numFmtId="0" fontId="24" fillId="2" borderId="0" xfId="0" applyFont="1" applyFill="1"/>
    <xf numFmtId="0" fontId="24" fillId="2" borderId="0" xfId="0" applyFont="1" applyFill="1" applyAlignment="1">
      <alignment horizontal="center"/>
    </xf>
    <xf numFmtId="0" fontId="23" fillId="2" borderId="0" xfId="0" applyFont="1" applyFill="1" applyAlignment="1">
      <alignment wrapText="1"/>
    </xf>
    <xf numFmtId="0" fontId="25" fillId="2" borderId="0" xfId="0" applyFont="1" applyFill="1" applyAlignment="1">
      <alignment horizontal="center"/>
    </xf>
    <xf numFmtId="0" fontId="25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4" fillId="0" borderId="6" xfId="0" applyFont="1" applyFill="1" applyBorder="1" applyAlignment="1">
      <alignment horizontal="center" vertical="center" wrapText="1"/>
    </xf>
    <xf numFmtId="0" fontId="24" fillId="0" borderId="4" xfId="0" applyFont="1" applyFill="1" applyBorder="1" applyAlignment="1">
      <alignment horizontal="center" vertical="center" wrapText="1"/>
    </xf>
    <xf numFmtId="0" fontId="23" fillId="0" borderId="8" xfId="0" applyFont="1" applyFill="1" applyBorder="1" applyAlignment="1">
      <alignment horizontal="center" vertical="center" wrapText="1"/>
    </xf>
    <xf numFmtId="0" fontId="24" fillId="2" borderId="17" xfId="0" applyFont="1" applyFill="1" applyBorder="1" applyAlignment="1"/>
    <xf numFmtId="0" fontId="20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4" fillId="2" borderId="0" xfId="0" applyNumberFormat="1" applyFont="1" applyFill="1" applyBorder="1" applyAlignment="1"/>
    <xf numFmtId="0" fontId="24" fillId="2" borderId="1" xfId="0" applyFont="1" applyFill="1" applyBorder="1" applyAlignment="1">
      <alignment vertical="center"/>
    </xf>
    <xf numFmtId="0" fontId="24" fillId="2" borderId="1" xfId="0" applyFont="1" applyFill="1" applyBorder="1"/>
    <xf numFmtId="0" fontId="24" fillId="2" borderId="1" xfId="0" applyFont="1" applyFill="1" applyBorder="1" applyAlignment="1"/>
    <xf numFmtId="0" fontId="25" fillId="2" borderId="1" xfId="0" applyFont="1" applyFill="1" applyBorder="1"/>
    <xf numFmtId="0" fontId="23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3" fillId="2" borderId="38" xfId="0" applyFont="1" applyFill="1" applyBorder="1" applyAlignment="1">
      <alignment horizontal="right" vertical="center"/>
    </xf>
    <xf numFmtId="0" fontId="23" fillId="2" borderId="21" xfId="0" applyFont="1" applyFill="1" applyBorder="1" applyAlignment="1">
      <alignment horizontal="right" vertical="center"/>
    </xf>
    <xf numFmtId="0" fontId="28" fillId="0" borderId="6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/>
    </xf>
    <xf numFmtId="0" fontId="29" fillId="0" borderId="6" xfId="0" applyFont="1" applyFill="1" applyBorder="1"/>
    <xf numFmtId="0" fontId="29" fillId="0" borderId="6" xfId="0" applyFont="1" applyFill="1" applyBorder="1" applyAlignment="1">
      <alignment horizontal="center"/>
    </xf>
    <xf numFmtId="0" fontId="29" fillId="0" borderId="6" xfId="0" applyFont="1" applyBorder="1" applyAlignment="1"/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/>
    </xf>
    <xf numFmtId="0" fontId="29" fillId="0" borderId="1" xfId="0" applyFont="1" applyFill="1" applyBorder="1"/>
    <xf numFmtId="0" fontId="29" fillId="0" borderId="1" xfId="0" applyFont="1" applyFill="1" applyBorder="1" applyAlignment="1">
      <alignment horizontal="center"/>
    </xf>
    <xf numFmtId="0" fontId="29" fillId="0" borderId="1" xfId="0" applyFont="1" applyBorder="1" applyAlignment="1"/>
    <xf numFmtId="0" fontId="29" fillId="0" borderId="6" xfId="0" applyFont="1" applyBorder="1" applyAlignment="1">
      <alignment horizontal="center" vertical="center"/>
    </xf>
    <xf numFmtId="0" fontId="29" fillId="0" borderId="6" xfId="0" applyFont="1" applyBorder="1"/>
    <xf numFmtId="0" fontId="29" fillId="0" borderId="6" xfId="0" applyFont="1" applyBorder="1" applyAlignment="1">
      <alignment horizontal="center"/>
    </xf>
    <xf numFmtId="0" fontId="28" fillId="0" borderId="4" xfId="0" applyFont="1" applyFill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/>
    </xf>
    <xf numFmtId="0" fontId="29" fillId="0" borderId="4" xfId="0" applyFont="1" applyBorder="1"/>
    <xf numFmtId="0" fontId="29" fillId="0" borderId="4" xfId="0" applyFont="1" applyBorder="1" applyAlignment="1">
      <alignment horizontal="center"/>
    </xf>
    <xf numFmtId="0" fontId="29" fillId="0" borderId="4" xfId="0" applyFont="1" applyBorder="1" applyAlignment="1"/>
    <xf numFmtId="0" fontId="28" fillId="0" borderId="9" xfId="0" applyFont="1" applyFill="1" applyBorder="1" applyAlignment="1">
      <alignment horizontal="center" vertical="center" wrapText="1"/>
    </xf>
    <xf numFmtId="0" fontId="29" fillId="0" borderId="9" xfId="0" applyFont="1" applyBorder="1" applyAlignment="1"/>
    <xf numFmtId="0" fontId="30" fillId="2" borderId="29" xfId="0" applyFont="1" applyFill="1" applyBorder="1" applyAlignment="1"/>
    <xf numFmtId="0" fontId="24" fillId="0" borderId="7" xfId="0" applyFont="1" applyFill="1" applyBorder="1" applyAlignment="1">
      <alignment horizontal="center" vertical="center"/>
    </xf>
    <xf numFmtId="0" fontId="25" fillId="0" borderId="7" xfId="0" applyFont="1" applyFill="1" applyBorder="1" applyAlignment="1">
      <alignment horizontal="center" vertical="center" wrapText="1"/>
    </xf>
    <xf numFmtId="0" fontId="25" fillId="0" borderId="7" xfId="0" applyFont="1" applyFill="1" applyBorder="1" applyAlignment="1">
      <alignment horizontal="center" vertical="center"/>
    </xf>
    <xf numFmtId="0" fontId="25" fillId="0" borderId="7" xfId="0" applyFont="1" applyBorder="1" applyAlignment="1"/>
    <xf numFmtId="0" fontId="31" fillId="0" borderId="13" xfId="0" applyFont="1" applyFill="1" applyBorder="1" applyAlignment="1">
      <alignment horizontal="left" vertical="center"/>
    </xf>
    <xf numFmtId="0" fontId="24" fillId="0" borderId="1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 wrapText="1"/>
    </xf>
    <xf numFmtId="0" fontId="25" fillId="0" borderId="1" xfId="0" applyFont="1" applyFill="1" applyBorder="1" applyAlignment="1">
      <alignment horizontal="center" vertical="center"/>
    </xf>
    <xf numFmtId="0" fontId="25" fillId="0" borderId="1" xfId="0" applyFont="1" applyBorder="1" applyAlignment="1"/>
    <xf numFmtId="0" fontId="31" fillId="0" borderId="14" xfId="0" applyFont="1" applyFill="1" applyBorder="1" applyAlignment="1">
      <alignment horizontal="left" vertical="center"/>
    </xf>
    <xf numFmtId="0" fontId="25" fillId="0" borderId="1" xfId="0" applyFont="1" applyFill="1" applyBorder="1"/>
    <xf numFmtId="0" fontId="25" fillId="0" borderId="1" xfId="0" applyFont="1" applyFill="1" applyBorder="1" applyAlignment="1">
      <alignment horizontal="center"/>
    </xf>
    <xf numFmtId="0" fontId="25" fillId="0" borderId="14" xfId="0" applyFont="1" applyFill="1" applyBorder="1" applyAlignment="1">
      <alignment horizontal="left"/>
    </xf>
    <xf numFmtId="0" fontId="25" fillId="0" borderId="4" xfId="0" applyFont="1" applyFill="1" applyBorder="1" applyAlignment="1">
      <alignment horizontal="center" vertical="center" wrapText="1"/>
    </xf>
    <xf numFmtId="0" fontId="25" fillId="0" borderId="4" xfId="0" applyFont="1" applyFill="1" applyBorder="1"/>
    <xf numFmtId="0" fontId="25" fillId="0" borderId="4" xfId="0" applyFont="1" applyFill="1" applyBorder="1" applyAlignment="1">
      <alignment horizontal="center"/>
    </xf>
    <xf numFmtId="0" fontId="25" fillId="0" borderId="4" xfId="0" applyFont="1" applyBorder="1" applyAlignment="1"/>
    <xf numFmtId="0" fontId="25" fillId="0" borderId="12" xfId="0" applyFont="1" applyFill="1" applyBorder="1" applyAlignment="1">
      <alignment horizontal="left"/>
    </xf>
    <xf numFmtId="0" fontId="23" fillId="2" borderId="21" xfId="0" applyFont="1" applyFill="1" applyBorder="1" applyAlignment="1">
      <alignment horizontal="right" wrapText="1"/>
    </xf>
    <xf numFmtId="0" fontId="23" fillId="2" borderId="0" xfId="0" applyFont="1" applyFill="1" applyBorder="1" applyAlignment="1">
      <alignment horizontal="right" wrapText="1"/>
    </xf>
    <xf numFmtId="0" fontId="23" fillId="2" borderId="1" xfId="0" applyFont="1" applyFill="1" applyBorder="1" applyAlignment="1">
      <alignment wrapText="1"/>
    </xf>
    <xf numFmtId="0" fontId="24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0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2" fillId="0" borderId="0" xfId="0" applyFont="1"/>
    <xf numFmtId="0" fontId="33" fillId="0" borderId="0" xfId="0" applyFont="1"/>
    <xf numFmtId="0" fontId="34" fillId="0" borderId="0" xfId="0" applyFont="1" applyFill="1" applyBorder="1" applyAlignment="1" applyProtection="1">
      <alignment vertical="center"/>
    </xf>
    <xf numFmtId="0" fontId="34" fillId="0" borderId="0" xfId="0" applyFont="1" applyFill="1" applyBorder="1" applyAlignment="1" applyProtection="1">
      <alignment horizontal="left" shrinkToFit="1"/>
    </xf>
    <xf numFmtId="0" fontId="34" fillId="0" borderId="11" xfId="0" applyFont="1" applyFill="1" applyBorder="1" applyAlignment="1" applyProtection="1">
      <alignment vertical="center"/>
    </xf>
    <xf numFmtId="0" fontId="35" fillId="0" borderId="0" xfId="0" applyFont="1" applyFill="1" applyBorder="1" applyAlignment="1" applyProtection="1">
      <alignment horizontal="left" shrinkToFit="1"/>
    </xf>
    <xf numFmtId="0" fontId="35" fillId="0" borderId="11" xfId="0" applyFont="1" applyFill="1" applyBorder="1" applyAlignment="1" applyProtection="1">
      <alignment horizontal="left" shrinkToFit="1"/>
    </xf>
    <xf numFmtId="0" fontId="36" fillId="0" borderId="0" xfId="0" applyFont="1" applyFill="1" applyBorder="1" applyAlignment="1" applyProtection="1">
      <alignment horizontal="left"/>
    </xf>
    <xf numFmtId="0" fontId="35" fillId="0" borderId="0" xfId="0" applyFont="1" applyFill="1" applyBorder="1" applyAlignment="1" applyProtection="1">
      <alignment horizontal="left"/>
    </xf>
    <xf numFmtId="0" fontId="35" fillId="0" borderId="11" xfId="0" applyFont="1" applyFill="1" applyBorder="1" applyAlignment="1" applyProtection="1">
      <alignment horizontal="left"/>
    </xf>
    <xf numFmtId="0" fontId="38" fillId="6" borderId="1" xfId="1" applyNumberFormat="1" applyFont="1" applyFill="1" applyBorder="1" applyAlignment="1" applyProtection="1">
      <alignment horizontal="center" vertical="center"/>
      <protection hidden="1"/>
    </xf>
    <xf numFmtId="0" fontId="38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8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9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4" fillId="2" borderId="1" xfId="0" applyNumberFormat="1" applyFont="1" applyFill="1" applyBorder="1" applyAlignment="1">
      <alignment horizontal="left"/>
    </xf>
    <xf numFmtId="0" fontId="31" fillId="2" borderId="0" xfId="0" applyFont="1" applyFill="1" applyAlignment="1">
      <alignment horizontal="center"/>
    </xf>
    <xf numFmtId="0" fontId="31" fillId="2" borderId="17" xfId="0" applyFont="1" applyFill="1" applyBorder="1" applyAlignment="1">
      <alignment horizontal="center" wrapText="1"/>
    </xf>
    <xf numFmtId="0" fontId="31" fillId="2" borderId="0" xfId="0" applyFont="1" applyFill="1" applyBorder="1" applyAlignment="1">
      <alignment horizontal="center" wrapText="1"/>
    </xf>
    <xf numFmtId="0" fontId="25" fillId="2" borderId="0" xfId="0" applyNumberFormat="1" applyFont="1" applyFill="1" applyBorder="1" applyAlignment="1">
      <alignment horizontal="center"/>
    </xf>
    <xf numFmtId="0" fontId="25" fillId="2" borderId="0" xfId="0" applyNumberFormat="1" applyFont="1" applyFill="1" applyBorder="1"/>
    <xf numFmtId="0" fontId="31" fillId="2" borderId="0" xfId="0" applyNumberFormat="1" applyFont="1" applyFill="1" applyBorder="1" applyAlignment="1">
      <alignment horizontal="center" wrapText="1"/>
    </xf>
    <xf numFmtId="165" fontId="25" fillId="2" borderId="0" xfId="0" applyNumberFormat="1" applyFont="1" applyFill="1"/>
    <xf numFmtId="18" fontId="25" fillId="2" borderId="0" xfId="0" applyNumberFormat="1" applyFont="1" applyFill="1" applyBorder="1"/>
    <xf numFmtId="0" fontId="41" fillId="0" borderId="0" xfId="3" applyFont="1" applyFill="1" applyBorder="1" applyAlignment="1" applyProtection="1">
      <alignment vertical="center" wrapText="1"/>
      <protection hidden="1"/>
    </xf>
    <xf numFmtId="0" fontId="41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4" fillId="7" borderId="1" xfId="0" applyNumberFormat="1" applyFont="1" applyFill="1" applyBorder="1" applyAlignment="1"/>
    <xf numFmtId="0" fontId="24" fillId="7" borderId="1" xfId="0" applyFont="1" applyFill="1" applyBorder="1" applyAlignment="1">
      <alignment vertical="center"/>
    </xf>
    <xf numFmtId="0" fontId="24" fillId="7" borderId="1" xfId="0" applyFont="1" applyFill="1" applyBorder="1" applyAlignment="1"/>
    <xf numFmtId="0" fontId="24" fillId="7" borderId="1" xfId="0" applyFont="1" applyFill="1" applyBorder="1"/>
    <xf numFmtId="0" fontId="25" fillId="7" borderId="1" xfId="0" applyFont="1" applyFill="1" applyBorder="1"/>
    <xf numFmtId="0" fontId="25" fillId="7" borderId="1" xfId="0" applyFont="1" applyFill="1" applyBorder="1" applyAlignment="1">
      <alignment horizontal="center"/>
    </xf>
    <xf numFmtId="0" fontId="24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5" fillId="7" borderId="7" xfId="0" applyFont="1" applyFill="1" applyBorder="1" applyAlignment="1">
      <alignment horizontal="center" vertical="center"/>
    </xf>
    <xf numFmtId="0" fontId="25" fillId="7" borderId="7" xfId="0" applyFont="1" applyFill="1" applyBorder="1" applyAlignment="1"/>
    <xf numFmtId="0" fontId="25" fillId="7" borderId="1" xfId="0" applyFont="1" applyFill="1" applyBorder="1" applyAlignment="1">
      <alignment horizontal="center" vertical="center"/>
    </xf>
    <xf numFmtId="0" fontId="25" fillId="7" borderId="1" xfId="0" applyFont="1" applyFill="1" applyBorder="1" applyAlignment="1"/>
    <xf numFmtId="0" fontId="25" fillId="7" borderId="4" xfId="0" applyFont="1" applyFill="1" applyBorder="1" applyAlignment="1">
      <alignment horizontal="center"/>
    </xf>
    <xf numFmtId="0" fontId="25" fillId="7" borderId="4" xfId="0" applyFont="1" applyFill="1" applyBorder="1" applyAlignment="1"/>
    <xf numFmtId="0" fontId="25" fillId="7" borderId="7" xfId="0" applyFont="1" applyFill="1" applyBorder="1" applyAlignment="1">
      <alignment horizontal="center" vertical="center" wrapText="1"/>
    </xf>
    <xf numFmtId="0" fontId="25" fillId="7" borderId="1" xfId="0" applyFont="1" applyFill="1" applyBorder="1" applyAlignment="1">
      <alignment horizontal="center" vertical="center" wrapText="1"/>
    </xf>
    <xf numFmtId="0" fontId="25" fillId="7" borderId="4" xfId="0" applyFont="1" applyFill="1" applyBorder="1" applyAlignment="1">
      <alignment horizontal="center" vertical="center" wrapText="1"/>
    </xf>
    <xf numFmtId="0" fontId="24" fillId="7" borderId="9" xfId="0" applyFont="1" applyFill="1" applyBorder="1" applyAlignment="1">
      <alignment horizontal="center" vertical="center" wrapText="1"/>
    </xf>
    <xf numFmtId="0" fontId="28" fillId="7" borderId="1" xfId="0" applyFont="1" applyFill="1" applyBorder="1" applyAlignment="1">
      <alignment horizontal="center" vertical="center" wrapText="1"/>
    </xf>
    <xf numFmtId="0" fontId="24" fillId="7" borderId="6" xfId="0" applyFont="1" applyFill="1" applyBorder="1" applyAlignment="1">
      <alignment horizontal="center" vertical="center" wrapText="1"/>
    </xf>
    <xf numFmtId="0" fontId="24" fillId="7" borderId="4" xfId="0" applyFont="1" applyFill="1" applyBorder="1" applyAlignment="1">
      <alignment horizontal="center" vertical="center" wrapText="1"/>
    </xf>
    <xf numFmtId="0" fontId="28" fillId="7" borderId="6" xfId="0" applyFont="1" applyFill="1" applyBorder="1" applyAlignment="1">
      <alignment horizontal="center" vertical="center" wrapText="1"/>
    </xf>
    <xf numFmtId="0" fontId="29" fillId="7" borderId="6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/>
    </xf>
    <xf numFmtId="0" fontId="29" fillId="7" borderId="4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 wrapText="1"/>
    </xf>
    <xf numFmtId="0" fontId="29" fillId="7" borderId="6" xfId="0" applyFont="1" applyFill="1" applyBorder="1" applyAlignment="1"/>
    <xf numFmtId="0" fontId="29" fillId="7" borderId="1" xfId="0" applyFont="1" applyFill="1" applyBorder="1" applyAlignment="1"/>
    <xf numFmtId="0" fontId="29" fillId="7" borderId="4" xfId="0" applyFont="1" applyFill="1" applyBorder="1" applyAlignment="1"/>
    <xf numFmtId="0" fontId="29" fillId="7" borderId="9" xfId="0" applyFont="1" applyFill="1" applyBorder="1" applyAlignment="1"/>
    <xf numFmtId="0" fontId="29" fillId="7" borderId="6" xfId="0" applyFont="1" applyFill="1" applyBorder="1" applyAlignment="1">
      <alignment horizontal="center"/>
    </xf>
    <xf numFmtId="0" fontId="29" fillId="7" borderId="1" xfId="0" applyFont="1" applyFill="1" applyBorder="1" applyAlignment="1">
      <alignment horizontal="center"/>
    </xf>
    <xf numFmtId="0" fontId="29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4" fillId="7" borderId="1" xfId="0" applyNumberFormat="1" applyFont="1" applyFill="1" applyBorder="1" applyAlignment="1">
      <alignment horizontal="left"/>
    </xf>
    <xf numFmtId="18" fontId="25" fillId="7" borderId="1" xfId="0" applyNumberFormat="1" applyFont="1" applyFill="1" applyBorder="1"/>
    <xf numFmtId="0" fontId="45" fillId="7" borderId="0" xfId="0" applyFont="1" applyFill="1" applyAlignment="1">
      <alignment horizontal="left" vertical="center"/>
    </xf>
    <xf numFmtId="0" fontId="48" fillId="7" borderId="0" xfId="0" applyFont="1" applyFill="1" applyAlignment="1">
      <alignment horizontal="left" vertical="center"/>
    </xf>
    <xf numFmtId="0" fontId="49" fillId="7" borderId="0" xfId="0" applyFont="1" applyFill="1" applyAlignment="1">
      <alignment horizontal="left" vertical="center"/>
    </xf>
    <xf numFmtId="0" fontId="50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29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29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55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6" fillId="2" borderId="0" xfId="0" applyFont="1" applyFill="1"/>
    <xf numFmtId="0" fontId="57" fillId="2" borderId="0" xfId="0" applyFont="1" applyFill="1" applyAlignment="1">
      <alignment horizontal="center" vertical="center"/>
    </xf>
    <xf numFmtId="0" fontId="54" fillId="2" borderId="0" xfId="0" applyFont="1" applyFill="1"/>
    <xf numFmtId="0" fontId="59" fillId="0" borderId="0" xfId="6" applyFont="1" applyBorder="1" applyProtection="1">
      <protection locked="0"/>
    </xf>
    <xf numFmtId="0" fontId="60" fillId="0" borderId="0" xfId="6" applyFont="1" applyBorder="1" applyProtection="1">
      <protection locked="0"/>
    </xf>
    <xf numFmtId="0" fontId="61" fillId="2" borderId="0" xfId="0" applyFont="1" applyFill="1" applyAlignment="1">
      <alignment horizontal="center" vertical="center"/>
    </xf>
    <xf numFmtId="0" fontId="62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20" fillId="0" borderId="0" xfId="0" applyFont="1" applyFill="1" applyBorder="1" applyAlignment="1">
      <alignment horizontal="center" vertical="center" wrapText="1"/>
    </xf>
    <xf numFmtId="0" fontId="63" fillId="2" borderId="0" xfId="0" applyFont="1" applyFill="1"/>
    <xf numFmtId="0" fontId="23" fillId="2" borderId="0" xfId="0" applyFont="1" applyFill="1" applyBorder="1" applyAlignment="1">
      <alignment horizontal="right" wrapText="1"/>
    </xf>
    <xf numFmtId="0" fontId="23" fillId="2" borderId="16" xfId="0" applyFont="1" applyFill="1" applyBorder="1" applyAlignment="1">
      <alignment horizontal="right" wrapText="1"/>
    </xf>
    <xf numFmtId="0" fontId="23" fillId="2" borderId="41" xfId="0" applyFont="1" applyFill="1" applyBorder="1" applyAlignment="1">
      <alignment horizontal="center" vertical="center" wrapText="1"/>
    </xf>
    <xf numFmtId="0" fontId="23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6" fillId="0" borderId="43" xfId="0" applyFont="1" applyFill="1" applyBorder="1" applyAlignment="1">
      <alignment horizontal="center" vertical="center" textRotation="90"/>
    </xf>
    <xf numFmtId="0" fontId="26" fillId="0" borderId="44" xfId="0" applyFont="1" applyFill="1" applyBorder="1" applyAlignment="1">
      <alignment horizontal="center" vertical="center" textRotation="90"/>
    </xf>
    <xf numFmtId="0" fontId="26" fillId="0" borderId="42" xfId="0" applyFont="1" applyFill="1" applyBorder="1" applyAlignment="1">
      <alignment horizontal="center" vertical="center" textRotation="90" wrapText="1"/>
    </xf>
    <xf numFmtId="0" fontId="26" fillId="0" borderId="2" xfId="0" applyFont="1" applyFill="1" applyBorder="1" applyAlignment="1">
      <alignment horizontal="center" vertical="center" textRotation="90" wrapText="1"/>
    </xf>
    <xf numFmtId="0" fontId="23" fillId="0" borderId="42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22" fillId="5" borderId="8" xfId="0" applyFont="1" applyFill="1" applyBorder="1" applyAlignment="1">
      <alignment vertical="center"/>
    </xf>
    <xf numFmtId="0" fontId="22" fillId="5" borderId="27" xfId="0" applyFont="1" applyFill="1" applyBorder="1" applyAlignment="1">
      <alignment vertical="center"/>
    </xf>
    <xf numFmtId="0" fontId="37" fillId="0" borderId="10" xfId="0" applyFont="1" applyBorder="1" applyAlignment="1">
      <alignment vertical="center"/>
    </xf>
    <xf numFmtId="0" fontId="37" fillId="0" borderId="53" xfId="0" applyFont="1" applyBorder="1" applyAlignment="1">
      <alignment vertical="center"/>
    </xf>
    <xf numFmtId="0" fontId="37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2" fillId="0" borderId="1" xfId="0" applyFont="1" applyBorder="1" applyAlignment="1">
      <alignment vertical="center"/>
    </xf>
    <xf numFmtId="0" fontId="44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37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2" fillId="5" borderId="32" xfId="0" applyFont="1" applyFill="1" applyBorder="1" applyAlignment="1">
      <alignment vertical="center"/>
    </xf>
    <xf numFmtId="0" fontId="27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64" fillId="2" borderId="0" xfId="0" applyFont="1" applyFill="1"/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2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</dxf>
    <dxf>
      <font>
        <color rgb="FF00B050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  <dxf>
      <font>
        <color theme="6"/>
      </font>
    </dxf>
    <dxf>
      <font>
        <color rgb="FF9C0006"/>
      </font>
      <fill>
        <patternFill>
          <bgColor rgb="FFFFC7CE"/>
        </patternFill>
      </fill>
    </dxf>
    <dxf>
      <font>
        <color rgb="FF92D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320040</xdr:colOff>
          <xdr:row>1</xdr:row>
          <xdr:rowOff>358140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1</xdr:col>
          <xdr:colOff>538480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2</xdr:col>
          <xdr:colOff>350520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89" customWidth="1"/>
    <col min="2" max="2" width="28.33203125" style="189" customWidth="1"/>
    <col min="3" max="3" width="13.5546875" style="189" customWidth="1"/>
    <col min="4" max="4" width="35.6640625" style="189" customWidth="1"/>
    <col min="5" max="5" width="17.6640625" style="214" customWidth="1"/>
    <col min="6" max="6" width="15.44140625" style="189" customWidth="1"/>
    <col min="7" max="7" width="24.33203125" style="189" customWidth="1"/>
    <col min="8" max="8" width="20.5546875" style="189" customWidth="1"/>
    <col min="9" max="9" width="22.44140625" style="189" customWidth="1"/>
    <col min="10" max="10" width="21.109375" style="189" customWidth="1"/>
    <col min="11" max="11" width="28.88671875" style="189" customWidth="1"/>
    <col min="12" max="12" width="24.5546875" style="189" customWidth="1"/>
    <col min="13" max="13" width="24.109375" style="189" hidden="1" customWidth="1"/>
    <col min="14" max="14" width="10.109375" style="189" hidden="1" customWidth="1"/>
    <col min="15" max="15" width="8.88671875" style="215" hidden="1" customWidth="1"/>
    <col min="16" max="18" width="8.88671875" style="189" hidden="1" customWidth="1"/>
    <col min="19" max="19" width="13.33203125" style="189" hidden="1" customWidth="1"/>
    <col min="20" max="26" width="8.88671875" style="189" hidden="1" customWidth="1"/>
    <col min="27" max="27" width="15.5546875" style="189" hidden="1" customWidth="1"/>
    <col min="28" max="28" width="15.88671875" style="189" hidden="1" customWidth="1"/>
    <col min="29" max="29" width="5.77734375" style="189" customWidth="1"/>
    <col min="30" max="30" width="91.109375" style="189" customWidth="1"/>
    <col min="31" max="31" width="73.77734375" style="189" customWidth="1"/>
    <col min="32" max="32" width="34" style="189" customWidth="1"/>
    <col min="33" max="16384" width="8.88671875" style="189"/>
  </cols>
  <sheetData>
    <row r="1" spans="1:30" s="174" customFormat="1" ht="54.6" customHeight="1" x14ac:dyDescent="0.4">
      <c r="A1" s="235" t="s">
        <v>13</v>
      </c>
      <c r="B1" s="332"/>
      <c r="C1" s="225"/>
      <c r="D1" s="170"/>
      <c r="E1" s="171"/>
      <c r="F1" s="171"/>
      <c r="G1" s="172" t="s">
        <v>39</v>
      </c>
      <c r="H1" s="333"/>
      <c r="I1" s="182"/>
      <c r="J1" s="173" t="s">
        <v>41</v>
      </c>
      <c r="K1" s="226" t="str">
        <f>IFERROR(VLOOKUP(H1, A55:C63,3, FALSE), "")</f>
        <v/>
      </c>
      <c r="L1" s="182"/>
      <c r="O1" s="175"/>
      <c r="P1" s="175"/>
      <c r="Q1" s="176"/>
      <c r="AD1" s="382" t="s">
        <v>649</v>
      </c>
    </row>
    <row r="2" spans="1:30" s="174" customFormat="1" ht="65.400000000000006" customHeight="1" x14ac:dyDescent="0.4">
      <c r="A2" s="236" t="s">
        <v>45</v>
      </c>
      <c r="B2" s="333"/>
      <c r="C2" s="182"/>
      <c r="D2" s="182"/>
      <c r="E2" s="182"/>
      <c r="F2" s="178"/>
      <c r="G2" s="179" t="s">
        <v>40</v>
      </c>
      <c r="H2" s="228" t="s">
        <v>295</v>
      </c>
      <c r="I2" s="178"/>
      <c r="J2" s="178"/>
      <c r="K2" s="178"/>
      <c r="L2" s="178"/>
      <c r="O2" s="180"/>
      <c r="P2" s="180"/>
      <c r="Q2" s="176"/>
      <c r="AD2" s="382" t="s">
        <v>650</v>
      </c>
    </row>
    <row r="3" spans="1:30" s="174" customFormat="1" ht="69.599999999999994" customHeight="1" x14ac:dyDescent="0.4">
      <c r="A3" s="198" t="s">
        <v>298</v>
      </c>
      <c r="B3" s="333"/>
      <c r="C3" s="182"/>
      <c r="D3" s="179" t="s">
        <v>312</v>
      </c>
      <c r="E3" s="333"/>
      <c r="F3" s="178"/>
      <c r="G3" s="421" t="s">
        <v>313</v>
      </c>
      <c r="H3" s="422"/>
      <c r="I3" s="228"/>
      <c r="J3" s="277" t="s">
        <v>314</v>
      </c>
      <c r="K3" s="228"/>
      <c r="L3" s="222"/>
      <c r="O3" s="180"/>
      <c r="P3" s="180"/>
      <c r="Q3" s="176"/>
      <c r="AD3" s="382" t="s">
        <v>651</v>
      </c>
    </row>
    <row r="4" spans="1:30" s="174" customFormat="1" ht="72.75" customHeight="1" x14ac:dyDescent="0.4">
      <c r="A4" s="198" t="s">
        <v>46</v>
      </c>
      <c r="B4" s="333"/>
      <c r="C4" s="182"/>
      <c r="D4" s="182"/>
      <c r="E4" s="182"/>
      <c r="F4" s="178"/>
      <c r="G4" s="179" t="s">
        <v>15</v>
      </c>
      <c r="H4" s="228" t="str">
        <f>IFERROR(VLOOKUP(H1, A55:C63,2, FALSE), "")</f>
        <v/>
      </c>
      <c r="I4" s="178"/>
      <c r="J4" s="178"/>
      <c r="K4" s="178"/>
      <c r="L4" s="178"/>
      <c r="O4" s="180"/>
      <c r="P4" s="180"/>
      <c r="Q4" s="176"/>
      <c r="AD4" s="382" t="s">
        <v>652</v>
      </c>
    </row>
    <row r="5" spans="1:30" s="174" customFormat="1" ht="33" customHeight="1" x14ac:dyDescent="0.4">
      <c r="A5" s="236" t="s">
        <v>310</v>
      </c>
      <c r="B5" s="333"/>
      <c r="C5" s="182"/>
      <c r="D5" s="182"/>
      <c r="E5" s="182"/>
      <c r="F5" s="182"/>
      <c r="G5" s="183"/>
      <c r="H5" s="183"/>
      <c r="I5" s="183"/>
      <c r="J5" s="183"/>
      <c r="K5" s="183"/>
      <c r="L5" s="184"/>
      <c r="O5" s="180"/>
      <c r="P5" s="180"/>
      <c r="Q5" s="176"/>
    </row>
    <row r="6" spans="1:30" ht="77.25" customHeight="1" x14ac:dyDescent="0.4">
      <c r="A6" s="198" t="s">
        <v>49</v>
      </c>
      <c r="B6" s="227"/>
      <c r="C6" s="185"/>
      <c r="D6" s="277" t="s">
        <v>315</v>
      </c>
      <c r="E6" s="335"/>
      <c r="F6" s="175"/>
      <c r="G6" s="186" t="s">
        <v>57</v>
      </c>
      <c r="H6" s="187"/>
      <c r="I6" s="187"/>
      <c r="J6" s="187"/>
      <c r="K6" s="187"/>
      <c r="L6" s="188"/>
      <c r="O6" s="189"/>
      <c r="Q6" s="175"/>
      <c r="R6" s="175"/>
      <c r="S6" s="175"/>
      <c r="T6" s="175"/>
      <c r="U6" s="175"/>
      <c r="V6" s="175"/>
    </row>
    <row r="7" spans="1:30" ht="68.25" customHeight="1" x14ac:dyDescent="0.7">
      <c r="A7" s="276" t="s">
        <v>316</v>
      </c>
      <c r="B7" s="334"/>
      <c r="C7" s="178"/>
      <c r="D7" s="178"/>
      <c r="E7" s="178"/>
      <c r="F7" s="175"/>
      <c r="G7" s="230"/>
      <c r="H7" s="230"/>
      <c r="I7" s="230" t="s">
        <v>660</v>
      </c>
      <c r="J7" s="230"/>
      <c r="K7" s="203"/>
      <c r="L7" s="188"/>
      <c r="M7" s="189" t="s">
        <v>307</v>
      </c>
      <c r="O7" s="189"/>
      <c r="Q7" s="175"/>
      <c r="R7" s="175"/>
      <c r="S7" s="175"/>
      <c r="T7" s="175"/>
      <c r="U7" s="175"/>
      <c r="V7" s="175"/>
      <c r="AD7" s="459" t="str">
        <f>IF(OR(K14="Not quite", 'Business Type'!I2="Not Quite", HVAC!N2="Not Quite", HVAC!N3="Not Quite", HVAC!N4="Not Quite", 'Water Heating'!I2="Not Quite", 'Water Heating'!I3="Not Quite"), "Not Ready", "Good")</f>
        <v>Not Ready</v>
      </c>
    </row>
    <row r="8" spans="1:30" ht="39.75" customHeight="1" x14ac:dyDescent="0.4">
      <c r="A8" s="236" t="s">
        <v>44</v>
      </c>
      <c r="B8" s="335"/>
      <c r="C8" s="185"/>
      <c r="D8" s="185"/>
      <c r="E8" s="192"/>
      <c r="F8" s="175"/>
      <c r="G8" s="179" t="s">
        <v>276</v>
      </c>
      <c r="H8" s="229"/>
      <c r="J8" s="179" t="s">
        <v>277</v>
      </c>
      <c r="K8" s="229"/>
      <c r="L8" s="188"/>
      <c r="M8" s="189" t="s">
        <v>305</v>
      </c>
      <c r="O8" s="189"/>
      <c r="Q8" s="175"/>
      <c r="R8" s="190"/>
      <c r="S8" s="175"/>
      <c r="T8" s="175"/>
      <c r="U8" s="175"/>
      <c r="V8" s="175"/>
    </row>
    <row r="9" spans="1:30" ht="39.75" customHeight="1" x14ac:dyDescent="0.4">
      <c r="A9" s="236" t="s">
        <v>16</v>
      </c>
      <c r="B9" s="310"/>
      <c r="C9" s="185"/>
      <c r="D9" s="185"/>
      <c r="E9" s="192"/>
      <c r="F9" s="175"/>
      <c r="H9" s="179" t="s">
        <v>296</v>
      </c>
      <c r="I9" s="229"/>
      <c r="L9" s="188"/>
      <c r="M9" s="189" t="s">
        <v>306</v>
      </c>
      <c r="O9" s="189"/>
      <c r="Q9" s="175"/>
      <c r="R9" s="190"/>
      <c r="S9" s="175"/>
      <c r="T9" s="175"/>
      <c r="U9" s="175"/>
      <c r="V9" s="175"/>
    </row>
    <row r="10" spans="1:30" ht="43.5" customHeight="1" x14ac:dyDescent="0.4">
      <c r="A10" s="191"/>
      <c r="B10" s="185"/>
      <c r="C10" s="185"/>
      <c r="D10" s="185"/>
      <c r="E10" s="192"/>
      <c r="F10" s="175"/>
      <c r="G10" s="175"/>
      <c r="J10" s="175"/>
      <c r="K10" s="175"/>
      <c r="L10" s="188"/>
      <c r="M10" s="189" t="s">
        <v>308</v>
      </c>
      <c r="O10" s="189"/>
      <c r="Q10" s="175"/>
      <c r="R10" s="190"/>
      <c r="S10" s="175"/>
      <c r="T10" s="175"/>
      <c r="U10" s="175"/>
      <c r="V10" s="175"/>
      <c r="AD10" s="383" t="s">
        <v>653</v>
      </c>
    </row>
    <row r="11" spans="1:30" ht="36.75" customHeight="1" thickBot="1" x14ac:dyDescent="0.45">
      <c r="A11" s="193" t="s">
        <v>257</v>
      </c>
      <c r="B11" s="175"/>
      <c r="C11" s="175"/>
      <c r="D11" s="336"/>
      <c r="E11" s="192" t="s">
        <v>325</v>
      </c>
      <c r="F11" s="179"/>
      <c r="G11" s="175"/>
      <c r="H11" s="175"/>
      <c r="I11" s="175"/>
      <c r="J11" s="175"/>
      <c r="K11" s="175"/>
      <c r="L11" s="188"/>
      <c r="O11" s="189"/>
      <c r="Q11" s="175"/>
      <c r="R11" s="190"/>
      <c r="S11" s="175"/>
      <c r="T11" s="175"/>
      <c r="U11" s="175"/>
      <c r="V11" s="175"/>
      <c r="AD11" s="386" t="s">
        <v>656</v>
      </c>
    </row>
    <row r="12" spans="1:30" ht="36.75" customHeight="1" x14ac:dyDescent="0.4">
      <c r="A12" s="191"/>
      <c r="B12" s="175"/>
      <c r="C12" s="175"/>
      <c r="D12" s="175"/>
      <c r="E12" s="192"/>
      <c r="F12" s="175"/>
      <c r="G12" s="194" t="s">
        <v>258</v>
      </c>
      <c r="H12" s="195"/>
      <c r="I12" s="195"/>
      <c r="J12" s="423" t="s">
        <v>317</v>
      </c>
      <c r="K12" s="175"/>
      <c r="L12" s="188"/>
      <c r="O12" s="189"/>
      <c r="Q12" s="175"/>
      <c r="R12" s="190"/>
      <c r="S12" s="175"/>
      <c r="T12" s="175"/>
      <c r="U12" s="175"/>
      <c r="V12" s="175"/>
      <c r="AD12" s="384" t="s">
        <v>657</v>
      </c>
    </row>
    <row r="13" spans="1:30" ht="48.75" customHeight="1" x14ac:dyDescent="0.4">
      <c r="A13" s="191"/>
      <c r="B13" s="175"/>
      <c r="C13" s="175"/>
      <c r="D13" s="175"/>
      <c r="E13" s="192"/>
      <c r="F13" s="175"/>
      <c r="G13" s="191"/>
      <c r="H13" s="175" t="s">
        <v>303</v>
      </c>
      <c r="I13" s="175" t="s">
        <v>304</v>
      </c>
      <c r="J13" s="424"/>
      <c r="N13" s="175" t="s">
        <v>573</v>
      </c>
      <c r="O13" s="188" t="s">
        <v>574</v>
      </c>
      <c r="Q13" s="175"/>
      <c r="R13" s="190"/>
      <c r="S13" s="175"/>
      <c r="T13" s="175"/>
      <c r="U13" s="175"/>
      <c r="V13" s="175"/>
      <c r="AD13" s="385" t="s">
        <v>658</v>
      </c>
    </row>
    <row r="14" spans="1:30" ht="36.75" customHeight="1" x14ac:dyDescent="0.6">
      <c r="A14" s="198" t="s">
        <v>18</v>
      </c>
      <c r="B14" s="229"/>
      <c r="C14" s="175"/>
      <c r="D14" s="175"/>
      <c r="E14" s="199"/>
      <c r="F14" s="179"/>
      <c r="G14" s="196" t="s">
        <v>50</v>
      </c>
      <c r="H14" s="380"/>
      <c r="I14" s="381"/>
      <c r="J14" s="278"/>
      <c r="K14" s="420" t="str">
        <f>IF(O22&gt;0, "Good", "Not quite")</f>
        <v>Not quite</v>
      </c>
      <c r="N14" s="317">
        <f t="shared" ref="N14:N20" si="0">IF(ISBLANK(H14), 0, 1)</f>
        <v>0</v>
      </c>
      <c r="O14" s="318">
        <f>(I14-H14)*24</f>
        <v>0</v>
      </c>
      <c r="S14" s="321"/>
      <c r="T14" s="175"/>
      <c r="U14" s="175"/>
      <c r="V14" s="175"/>
      <c r="Z14" s="189" t="str">
        <f>IF(N14=1, "Mon:", "")</f>
        <v/>
      </c>
      <c r="AA14" s="313" t="str">
        <f t="shared" ref="AA14:AA20" si="1">IF(N14=1, TEXT(TIME(HOUR(H14), MINUTE(H14), SECOND(H14)), " h:mm AM/PM-"), "")</f>
        <v/>
      </c>
      <c r="AB14" s="313" t="str">
        <f>IF(N14=1, TEXT(TIME(HOUR(I14), MINUTE(I14), SECOND(I14)), "h:mm AM/PM "), "")</f>
        <v/>
      </c>
      <c r="AD14" s="383" t="s">
        <v>659</v>
      </c>
    </row>
    <row r="15" spans="1:30" ht="36.75" customHeight="1" x14ac:dyDescent="0.4">
      <c r="A15" s="177" t="s">
        <v>80</v>
      </c>
      <c r="B15" s="336"/>
      <c r="C15" s="175"/>
      <c r="D15" s="179" t="s">
        <v>311</v>
      </c>
      <c r="E15" s="337"/>
      <c r="F15" s="179"/>
      <c r="G15" s="196" t="s">
        <v>51</v>
      </c>
      <c r="H15" s="380"/>
      <c r="I15" s="381"/>
      <c r="J15" s="197"/>
      <c r="N15" s="317">
        <f t="shared" si="0"/>
        <v>0</v>
      </c>
      <c r="O15" s="318">
        <f t="shared" ref="O15:O20" si="2">(I15-H15)*24</f>
        <v>0</v>
      </c>
      <c r="S15" s="175"/>
      <c r="T15" s="175"/>
      <c r="U15" s="175"/>
      <c r="V15" s="175"/>
      <c r="Z15" s="189" t="str">
        <f>IF(N15=1, "Tue:", "")</f>
        <v/>
      </c>
      <c r="AA15" s="313" t="str">
        <f t="shared" si="1"/>
        <v/>
      </c>
      <c r="AB15" s="313" t="str">
        <f t="shared" ref="AB15:AB20" si="3">IF(N15=1, TEXT(TIME(HOUR(I15), MINUTE(I15), SECOND(I15)), "h:mm AM/PM "), "")</f>
        <v/>
      </c>
    </row>
    <row r="16" spans="1:30" ht="36.75" customHeight="1" x14ac:dyDescent="0.65">
      <c r="A16" s="177" t="s">
        <v>235</v>
      </c>
      <c r="B16" s="229"/>
      <c r="C16" s="175"/>
      <c r="D16" s="179" t="s">
        <v>318</v>
      </c>
      <c r="E16" s="338"/>
      <c r="F16" s="179"/>
      <c r="G16" s="196" t="s">
        <v>52</v>
      </c>
      <c r="H16" s="380"/>
      <c r="I16" s="381"/>
      <c r="J16" s="197"/>
      <c r="N16" s="317">
        <f t="shared" si="0"/>
        <v>0</v>
      </c>
      <c r="O16" s="318">
        <f t="shared" si="2"/>
        <v>0</v>
      </c>
      <c r="Q16" s="175"/>
      <c r="R16" s="190"/>
      <c r="S16" s="175"/>
      <c r="T16" s="175"/>
      <c r="U16" s="175"/>
      <c r="V16" s="175"/>
      <c r="Z16" s="189" t="str">
        <f>IF(N16=1, "Wed:", "")</f>
        <v/>
      </c>
      <c r="AA16" s="313" t="str">
        <f t="shared" si="1"/>
        <v/>
      </c>
      <c r="AB16" s="313" t="str">
        <f t="shared" si="3"/>
        <v/>
      </c>
      <c r="AD16" s="387" t="s">
        <v>654</v>
      </c>
    </row>
    <row r="17" spans="1:30" ht="51.75" customHeight="1" x14ac:dyDescent="0.65">
      <c r="A17" s="276"/>
      <c r="B17" s="175"/>
      <c r="C17" s="175"/>
      <c r="D17" s="179" t="s">
        <v>324</v>
      </c>
      <c r="E17" s="279"/>
      <c r="F17" s="179"/>
      <c r="G17" s="196" t="s">
        <v>53</v>
      </c>
      <c r="H17" s="380"/>
      <c r="I17" s="381"/>
      <c r="J17" s="197"/>
      <c r="N17" s="317">
        <f t="shared" si="0"/>
        <v>0</v>
      </c>
      <c r="O17" s="318">
        <f t="shared" si="2"/>
        <v>0</v>
      </c>
      <c r="Q17" s="175"/>
      <c r="R17" s="190"/>
      <c r="S17" s="175"/>
      <c r="T17" s="175"/>
      <c r="U17" s="175"/>
      <c r="V17" s="175"/>
      <c r="Z17" s="189" t="str">
        <f>IF(N17=1, "Thur:", "")</f>
        <v/>
      </c>
      <c r="AA17" s="313" t="str">
        <f t="shared" si="1"/>
        <v/>
      </c>
      <c r="AB17" s="313" t="str">
        <f>IF(N17=1, TEXT(TIME(HOUR(I17), MINUTE(I17), SECOND(I17)), "h:mm AM/PM "), "")</f>
        <v/>
      </c>
      <c r="AD17" s="387" t="s">
        <v>655</v>
      </c>
    </row>
    <row r="18" spans="1:30" ht="36.75" customHeight="1" x14ac:dyDescent="0.4">
      <c r="A18" s="177" t="s">
        <v>265</v>
      </c>
      <c r="B18" s="229"/>
      <c r="C18" s="175"/>
      <c r="D18" s="185"/>
      <c r="E18" s="192"/>
      <c r="F18" s="185"/>
      <c r="G18" s="196" t="s">
        <v>54</v>
      </c>
      <c r="H18" s="380"/>
      <c r="I18" s="381"/>
      <c r="J18" s="197"/>
      <c r="N18" s="317">
        <f t="shared" si="0"/>
        <v>0</v>
      </c>
      <c r="O18" s="318">
        <f t="shared" si="2"/>
        <v>0</v>
      </c>
      <c r="Q18" s="175"/>
      <c r="R18" s="190"/>
      <c r="S18" s="175"/>
      <c r="T18" s="175"/>
      <c r="U18" s="175"/>
      <c r="V18" s="175"/>
      <c r="Z18" s="189" t="str">
        <f>IF(N18=1, "Fri:", "")</f>
        <v/>
      </c>
      <c r="AA18" s="313" t="str">
        <f t="shared" si="1"/>
        <v/>
      </c>
      <c r="AB18" s="313" t="str">
        <f>IF(N18=1, TEXT(TIME(HOUR(I18), MINUTE(I18), SECOND(I18)), "h:mm AM/PM "), "")</f>
        <v/>
      </c>
    </row>
    <row r="19" spans="1:30" ht="36.75" customHeight="1" x14ac:dyDescent="0.4">
      <c r="A19" s="191"/>
      <c r="B19" s="175"/>
      <c r="C19" s="175"/>
      <c r="D19" s="185"/>
      <c r="E19" s="192"/>
      <c r="F19" s="185"/>
      <c r="G19" s="196" t="s">
        <v>47</v>
      </c>
      <c r="H19" s="380"/>
      <c r="I19" s="381"/>
      <c r="J19" s="197"/>
      <c r="N19" s="317">
        <f t="shared" si="0"/>
        <v>0</v>
      </c>
      <c r="O19" s="318">
        <f t="shared" si="2"/>
        <v>0</v>
      </c>
      <c r="R19" s="190"/>
      <c r="S19" s="175"/>
      <c r="T19" s="175"/>
      <c r="Z19" s="189" t="str">
        <f>IF(N19=1, "Sat:", "")</f>
        <v/>
      </c>
      <c r="AA19" s="313" t="str">
        <f t="shared" si="1"/>
        <v/>
      </c>
      <c r="AB19" s="313" t="str">
        <f>IF(N19=1, TEXT(TIME(HOUR(I19), MINUTE(I19), SECOND(I19)), "h:mm AM/PM "), "")</f>
        <v/>
      </c>
    </row>
    <row r="20" spans="1:30" s="204" customFormat="1" ht="36.75" customHeight="1" x14ac:dyDescent="0.4">
      <c r="A20" s="181"/>
      <c r="B20" s="203"/>
      <c r="C20" s="203"/>
      <c r="D20" s="203"/>
      <c r="E20" s="203"/>
      <c r="F20" s="203"/>
      <c r="G20" s="196" t="s">
        <v>48</v>
      </c>
      <c r="H20" s="380"/>
      <c r="I20" s="381"/>
      <c r="J20" s="197"/>
      <c r="M20" s="203"/>
      <c r="N20" s="317">
        <f t="shared" si="0"/>
        <v>0</v>
      </c>
      <c r="O20" s="318">
        <f t="shared" si="2"/>
        <v>0</v>
      </c>
      <c r="Z20" s="189" t="str">
        <f>IF(N20=1, "Sun:", "")</f>
        <v/>
      </c>
      <c r="AA20" s="313" t="str">
        <f t="shared" si="1"/>
        <v/>
      </c>
      <c r="AB20" s="313" t="str">
        <f t="shared" si="3"/>
        <v/>
      </c>
    </row>
    <row r="21" spans="1:30" ht="36.75" customHeight="1" thickBot="1" x14ac:dyDescent="0.45">
      <c r="A21" s="177" t="s">
        <v>55</v>
      </c>
      <c r="B21" s="229"/>
      <c r="C21" s="175"/>
      <c r="D21" s="185"/>
      <c r="E21" s="192"/>
      <c r="F21" s="185"/>
      <c r="G21" s="200"/>
      <c r="H21" s="201"/>
      <c r="I21" s="201"/>
      <c r="J21" s="202"/>
      <c r="N21" s="314" t="s">
        <v>575</v>
      </c>
      <c r="O21" s="315" t="s">
        <v>575</v>
      </c>
      <c r="P21" s="189" t="s">
        <v>576</v>
      </c>
      <c r="R21" s="190"/>
      <c r="S21" s="175" t="s">
        <v>622</v>
      </c>
      <c r="T21" s="175"/>
      <c r="U21" s="189" t="s">
        <v>623</v>
      </c>
    </row>
    <row r="22" spans="1:30" ht="36.75" customHeight="1" x14ac:dyDescent="0.4">
      <c r="A22" s="191"/>
      <c r="B22" s="175"/>
      <c r="C22" s="175"/>
      <c r="D22" s="185"/>
      <c r="E22" s="192"/>
      <c r="F22" s="185"/>
      <c r="G22" s="185"/>
      <c r="H22" s="175"/>
      <c r="I22" s="175"/>
      <c r="J22" s="203"/>
      <c r="N22" s="316">
        <f>SUM(N14:N20)</f>
        <v>0</v>
      </c>
      <c r="O22" s="319">
        <f>SUM(O14:O20)</f>
        <v>0</v>
      </c>
      <c r="P22" s="320">
        <f>IFERROR(O22/N22, 0)</f>
        <v>0</v>
      </c>
      <c r="R22" s="190"/>
      <c r="S22" s="175">
        <f>SUM(N19:N20)</f>
        <v>0</v>
      </c>
      <c r="T22" s="175"/>
      <c r="U22" s="189">
        <f>SUM(N14:N18)</f>
        <v>0</v>
      </c>
    </row>
    <row r="23" spans="1:30" ht="36.75" customHeight="1" x14ac:dyDescent="0.4">
      <c r="A23" s="191"/>
      <c r="B23" s="175"/>
      <c r="C23" s="175"/>
      <c r="D23" s="185"/>
      <c r="E23" s="192"/>
      <c r="F23" s="185"/>
      <c r="G23" s="185"/>
      <c r="H23" s="175"/>
      <c r="I23" s="175"/>
      <c r="J23" s="203"/>
      <c r="O23" s="189"/>
      <c r="R23" s="190"/>
      <c r="S23" s="175"/>
      <c r="T23" s="175"/>
    </row>
    <row r="24" spans="1:30" ht="18" customHeight="1" x14ac:dyDescent="0.4">
      <c r="A24" s="191"/>
      <c r="B24" s="185"/>
      <c r="C24" s="185"/>
      <c r="D24" s="185"/>
      <c r="E24" s="192"/>
      <c r="F24" s="185"/>
      <c r="G24" s="185"/>
      <c r="H24" s="185"/>
      <c r="I24" s="185"/>
      <c r="J24" s="187"/>
      <c r="K24" s="187"/>
      <c r="L24" s="197"/>
      <c r="O24" s="189"/>
    </row>
    <row r="25" spans="1:30" ht="29.4" customHeight="1" x14ac:dyDescent="0.65">
      <c r="A25" s="191"/>
      <c r="B25" s="185"/>
      <c r="C25" s="185"/>
      <c r="D25" s="185"/>
      <c r="E25" s="192"/>
      <c r="F25" s="185"/>
      <c r="G25" s="185"/>
      <c r="H25" s="185"/>
      <c r="I25" s="185"/>
      <c r="J25" s="187"/>
      <c r="K25" s="187"/>
      <c r="L25" s="197"/>
      <c r="O25" s="189"/>
      <c r="AD25" s="412" t="s">
        <v>737</v>
      </c>
    </row>
    <row r="26" spans="1:30" ht="29.4" customHeight="1" x14ac:dyDescent="0.65">
      <c r="A26" s="205"/>
      <c r="B26" s="185"/>
      <c r="C26" s="185"/>
      <c r="D26" s="185"/>
      <c r="E26" s="192"/>
      <c r="F26" s="185"/>
      <c r="G26" s="185"/>
      <c r="H26" s="185"/>
      <c r="I26" s="185"/>
      <c r="J26" s="187"/>
      <c r="K26" s="187"/>
      <c r="L26" s="197"/>
      <c r="O26" s="189"/>
      <c r="AD26" s="412" t="s">
        <v>738</v>
      </c>
    </row>
    <row r="27" spans="1:30" ht="20.25" customHeight="1" x14ac:dyDescent="0.4">
      <c r="A27" s="205" t="s">
        <v>259</v>
      </c>
      <c r="B27" s="185"/>
      <c r="C27" s="185"/>
      <c r="D27" s="185"/>
      <c r="E27" s="192"/>
      <c r="F27" s="185"/>
      <c r="G27" s="185"/>
      <c r="H27" s="185"/>
      <c r="I27" s="185"/>
      <c r="J27" s="187"/>
      <c r="K27" s="187"/>
      <c r="L27" s="197"/>
      <c r="O27" s="189"/>
    </row>
    <row r="28" spans="1:30" ht="20.25" customHeight="1" x14ac:dyDescent="0.4">
      <c r="A28" s="205" t="s">
        <v>43</v>
      </c>
      <c r="B28" s="185"/>
      <c r="C28" s="185"/>
      <c r="D28" s="185"/>
      <c r="E28" s="192"/>
      <c r="F28" s="185"/>
      <c r="G28" s="185"/>
      <c r="H28" s="185"/>
      <c r="I28" s="185"/>
      <c r="J28" s="187"/>
      <c r="K28" s="187"/>
      <c r="L28" s="197"/>
      <c r="O28" s="189"/>
    </row>
    <row r="29" spans="1:30" ht="20.25" customHeight="1" thickBot="1" x14ac:dyDescent="0.45">
      <c r="A29" s="206" t="s">
        <v>271</v>
      </c>
      <c r="B29" s="207"/>
      <c r="C29" s="207"/>
      <c r="D29" s="207"/>
      <c r="E29" s="208"/>
      <c r="F29" s="207"/>
      <c r="G29" s="207"/>
      <c r="H29" s="207"/>
      <c r="I29" s="207"/>
      <c r="J29" s="209"/>
      <c r="K29" s="209"/>
      <c r="L29" s="210" t="s">
        <v>746</v>
      </c>
      <c r="O29" s="189"/>
    </row>
    <row r="30" spans="1:30" ht="18" customHeight="1" x14ac:dyDescent="0.4">
      <c r="A30" s="5"/>
      <c r="B30" s="211"/>
      <c r="C30" s="211"/>
      <c r="D30" s="211"/>
      <c r="E30" s="212"/>
      <c r="F30" s="211"/>
      <c r="G30" s="211"/>
      <c r="H30" s="211"/>
      <c r="I30" s="211"/>
      <c r="J30" s="213"/>
      <c r="K30" s="213"/>
      <c r="L30" s="213"/>
      <c r="O30" s="189"/>
    </row>
    <row r="54" spans="1:3" x14ac:dyDescent="0.4">
      <c r="A54" s="189" t="s">
        <v>723</v>
      </c>
    </row>
    <row r="55" spans="1:3" x14ac:dyDescent="0.4">
      <c r="A55"/>
      <c r="B55"/>
      <c r="C55"/>
    </row>
    <row r="56" spans="1:3" x14ac:dyDescent="0.4">
      <c r="A56" t="s">
        <v>702</v>
      </c>
      <c r="B56" t="s">
        <v>703</v>
      </c>
      <c r="C56" t="s">
        <v>704</v>
      </c>
    </row>
    <row r="57" spans="1:3" x14ac:dyDescent="0.4">
      <c r="A57" t="s">
        <v>705</v>
      </c>
      <c r="B57" t="s">
        <v>706</v>
      </c>
      <c r="C57" t="s">
        <v>707</v>
      </c>
    </row>
    <row r="58" spans="1:3" x14ac:dyDescent="0.4">
      <c r="A58" t="s">
        <v>708</v>
      </c>
      <c r="B58" t="s">
        <v>709</v>
      </c>
      <c r="C58" t="s">
        <v>710</v>
      </c>
    </row>
    <row r="59" spans="1:3" x14ac:dyDescent="0.4">
      <c r="A59" t="s">
        <v>711</v>
      </c>
      <c r="B59" t="s">
        <v>712</v>
      </c>
      <c r="C59" t="s">
        <v>713</v>
      </c>
    </row>
    <row r="60" spans="1:3" x14ac:dyDescent="0.4">
      <c r="A60" t="s">
        <v>714</v>
      </c>
      <c r="B60" t="s">
        <v>715</v>
      </c>
      <c r="C60" t="s">
        <v>716</v>
      </c>
    </row>
    <row r="61" spans="1:3" x14ac:dyDescent="0.4">
      <c r="A61" t="s">
        <v>739</v>
      </c>
      <c r="B61" t="s">
        <v>740</v>
      </c>
      <c r="C61" t="s">
        <v>741</v>
      </c>
    </row>
    <row r="62" spans="1:3" x14ac:dyDescent="0.4">
      <c r="A62" t="s">
        <v>717</v>
      </c>
      <c r="B62" t="s">
        <v>718</v>
      </c>
      <c r="C62" t="s">
        <v>719</v>
      </c>
    </row>
    <row r="63" spans="1:3" x14ac:dyDescent="0.4">
      <c r="A63" t="s">
        <v>720</v>
      </c>
      <c r="B63" t="s">
        <v>721</v>
      </c>
      <c r="C63" t="s">
        <v>722</v>
      </c>
    </row>
    <row r="110" spans="37:37" hidden="1" x14ac:dyDescent="0.4">
      <c r="AK110" s="189" t="s">
        <v>661</v>
      </c>
    </row>
    <row r="111" spans="37:37" hidden="1" x14ac:dyDescent="0.4">
      <c r="AK111" s="189" t="s">
        <v>662</v>
      </c>
    </row>
  </sheetData>
  <mergeCells count="2">
    <mergeCell ref="G3:H3"/>
    <mergeCell ref="J12:J13"/>
  </mergeCells>
  <conditionalFormatting sqref="K14">
    <cfRule type="cellIs" dxfId="13" priority="3" operator="equal">
      <formula>"Good"</formula>
    </cfRule>
    <cfRule type="cellIs" dxfId="12" priority="4" operator="equal">
      <formula>"Not Quite"</formula>
    </cfRule>
  </conditionalFormatting>
  <conditionalFormatting sqref="AD7">
    <cfRule type="cellIs" dxfId="11" priority="1" operator="equal">
      <formula>"Good"</formula>
    </cfRule>
    <cfRule type="cellIs" dxfId="10" priority="2" operator="equal">
      <formula>"Not Ready"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$A$55:$A$63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320040</xdr:colOff>
                <xdr:row>1</xdr:row>
                <xdr:rowOff>358140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hidden="1" customWidth="1"/>
    <col min="6" max="6" width="41.33203125" hidden="1" customWidth="1"/>
    <col min="7" max="7" width="41.109375" hidden="1" customWidth="1"/>
    <col min="8" max="8" width="42.88671875" hidden="1" customWidth="1"/>
    <col min="31" max="33" width="0" hidden="1" customWidth="1"/>
  </cols>
  <sheetData>
    <row r="1" spans="1:33" s="2" customFormat="1" ht="41.25" customHeight="1" x14ac:dyDescent="0.3">
      <c r="A1" s="425" t="s">
        <v>301</v>
      </c>
      <c r="B1" s="425"/>
      <c r="C1" s="425"/>
      <c r="D1" s="426" t="s">
        <v>302</v>
      </c>
      <c r="E1" s="427"/>
      <c r="F1" s="325" t="s">
        <v>557</v>
      </c>
      <c r="G1" s="312" t="s">
        <v>557</v>
      </c>
      <c r="H1" s="24"/>
      <c r="I1" s="24"/>
      <c r="J1" s="24"/>
      <c r="K1" s="24"/>
      <c r="AE1" s="407" t="s">
        <v>82</v>
      </c>
      <c r="AF1" s="407" t="s">
        <v>1</v>
      </c>
      <c r="AG1" s="407" t="s">
        <v>1</v>
      </c>
    </row>
    <row r="2" spans="1:33" s="2" customFormat="1" ht="41.25" customHeight="1" x14ac:dyDescent="0.35">
      <c r="A2" s="339"/>
      <c r="B2" s="233"/>
      <c r="C2" s="231"/>
      <c r="D2" s="340"/>
      <c r="E2" s="232"/>
      <c r="F2" s="341" t="str">
        <f>IF(D2="", "", VLOOKUP(D2, AE1:AG43, 2, FALSE))</f>
        <v/>
      </c>
      <c r="G2" s="342" t="str">
        <f>IF(D2="", "", VLOOKUP(D2, AE1:AG43, 3, FALSE))</f>
        <v/>
      </c>
      <c r="H2" s="410" t="s">
        <v>733</v>
      </c>
      <c r="I2" s="211" t="str">
        <f>IF(OR(D2="", A2=""), "Not Quite", "Good")</f>
        <v>Not Quite</v>
      </c>
      <c r="J2" s="24"/>
      <c r="K2" s="24"/>
      <c r="AE2" s="407" t="s">
        <v>83</v>
      </c>
      <c r="AF2" s="407" t="s">
        <v>1</v>
      </c>
      <c r="AG2" s="407" t="s">
        <v>1</v>
      </c>
    </row>
    <row r="3" spans="1:33" s="2" customFormat="1" ht="41.25" customHeight="1" x14ac:dyDescent="0.3">
      <c r="A3" s="234"/>
      <c r="B3" s="231"/>
      <c r="C3" s="231" t="s">
        <v>309</v>
      </c>
      <c r="D3" s="406"/>
      <c r="E3" s="233" t="s">
        <v>309</v>
      </c>
      <c r="F3" s="330" t="str">
        <f>IF(F2="Other", D2, "")</f>
        <v/>
      </c>
      <c r="G3" s="331" t="str">
        <f>IF(G2="Other", D2, "")</f>
        <v/>
      </c>
      <c r="H3" s="24"/>
      <c r="I3" s="24"/>
      <c r="J3" s="24"/>
      <c r="K3" s="24"/>
      <c r="AE3" s="407" t="s">
        <v>84</v>
      </c>
      <c r="AF3" s="407" t="s">
        <v>1</v>
      </c>
      <c r="AG3" s="407" t="s">
        <v>1</v>
      </c>
    </row>
    <row r="4" spans="1:33" s="2" customFormat="1" ht="18" customHeight="1" x14ac:dyDescent="0.3">
      <c r="A4" s="327" t="s">
        <v>81</v>
      </c>
      <c r="B4" s="50"/>
      <c r="C4" s="50"/>
      <c r="D4" s="40" t="s">
        <v>82</v>
      </c>
      <c r="E4" s="51"/>
      <c r="F4" s="326" t="s">
        <v>560</v>
      </c>
      <c r="G4" s="311" t="s">
        <v>558</v>
      </c>
      <c r="H4" s="24"/>
      <c r="I4" s="24"/>
      <c r="J4" s="24"/>
      <c r="K4" s="24"/>
      <c r="AE4" s="407" t="s">
        <v>85</v>
      </c>
      <c r="AF4" s="407" t="s">
        <v>1</v>
      </c>
      <c r="AG4" s="407" t="s">
        <v>1</v>
      </c>
    </row>
    <row r="5" spans="1:33" s="2" customFormat="1" ht="18" customHeight="1" x14ac:dyDescent="0.3">
      <c r="A5" s="328" t="s">
        <v>17</v>
      </c>
      <c r="B5" s="1"/>
      <c r="C5" s="1"/>
      <c r="D5" s="39" t="s">
        <v>83</v>
      </c>
      <c r="E5" s="42"/>
      <c r="F5" s="326" t="s">
        <v>561</v>
      </c>
      <c r="G5" s="311" t="s">
        <v>559</v>
      </c>
      <c r="H5" s="24"/>
      <c r="I5" s="24"/>
      <c r="J5" s="24"/>
      <c r="K5" s="24"/>
      <c r="AE5" s="407" t="s">
        <v>86</v>
      </c>
      <c r="AF5" s="407" t="s">
        <v>91</v>
      </c>
      <c r="AG5" s="407" t="s">
        <v>91</v>
      </c>
    </row>
    <row r="6" spans="1:33" s="2" customFormat="1" ht="18" customHeight="1" x14ac:dyDescent="0.3">
      <c r="A6" s="328" t="s">
        <v>94</v>
      </c>
      <c r="B6" s="1"/>
      <c r="C6" s="1"/>
      <c r="D6" s="39" t="s">
        <v>84</v>
      </c>
      <c r="E6" s="42"/>
      <c r="F6" s="326" t="s">
        <v>624</v>
      </c>
      <c r="G6" s="311" t="s">
        <v>560</v>
      </c>
      <c r="H6" s="24"/>
      <c r="I6" s="24"/>
      <c r="J6" s="24"/>
      <c r="K6" s="24"/>
      <c r="AE6" s="407" t="s">
        <v>87</v>
      </c>
      <c r="AF6" s="407" t="s">
        <v>565</v>
      </c>
      <c r="AG6" s="407" t="s">
        <v>17</v>
      </c>
    </row>
    <row r="7" spans="1:33" s="2" customFormat="1" ht="18" customHeight="1" x14ac:dyDescent="0.3">
      <c r="A7" s="328" t="s">
        <v>104</v>
      </c>
      <c r="B7" s="1"/>
      <c r="C7" s="1"/>
      <c r="D7" s="39" t="s">
        <v>85</v>
      </c>
      <c r="E7" s="42"/>
      <c r="F7" s="326" t="s">
        <v>17</v>
      </c>
      <c r="G7" s="311" t="s">
        <v>561</v>
      </c>
      <c r="H7" s="24"/>
      <c r="I7" s="24"/>
      <c r="J7" s="24"/>
      <c r="K7" s="24"/>
      <c r="AE7" s="407" t="s">
        <v>88</v>
      </c>
      <c r="AF7" s="407" t="s">
        <v>565</v>
      </c>
      <c r="AG7" s="407" t="s">
        <v>17</v>
      </c>
    </row>
    <row r="8" spans="1:33" s="2" customFormat="1" ht="18" customHeight="1" x14ac:dyDescent="0.3">
      <c r="A8" s="328" t="s">
        <v>111</v>
      </c>
      <c r="B8" s="1"/>
      <c r="C8" s="1"/>
      <c r="D8" s="39" t="s">
        <v>86</v>
      </c>
      <c r="E8" s="42"/>
      <c r="F8" s="326" t="s">
        <v>625</v>
      </c>
      <c r="G8" s="311" t="s">
        <v>562</v>
      </c>
      <c r="H8" s="24"/>
      <c r="I8" s="24"/>
      <c r="J8" s="24"/>
      <c r="K8" s="24"/>
      <c r="AE8" s="407" t="s">
        <v>89</v>
      </c>
      <c r="AF8" s="407" t="s">
        <v>565</v>
      </c>
      <c r="AG8" s="407" t="s">
        <v>17</v>
      </c>
    </row>
    <row r="9" spans="1:33" s="2" customFormat="1" ht="18" customHeight="1" x14ac:dyDescent="0.3">
      <c r="A9" s="328" t="s">
        <v>116</v>
      </c>
      <c r="B9" s="41"/>
      <c r="C9" s="41"/>
      <c r="D9" s="29" t="s">
        <v>87</v>
      </c>
      <c r="E9" s="52"/>
      <c r="F9" s="326" t="s">
        <v>626</v>
      </c>
      <c r="G9" s="311" t="s">
        <v>563</v>
      </c>
      <c r="H9" s="24"/>
      <c r="I9" s="24"/>
      <c r="J9" s="24"/>
      <c r="K9" s="24"/>
      <c r="AE9" s="407" t="s">
        <v>90</v>
      </c>
      <c r="AF9" s="407" t="s">
        <v>565</v>
      </c>
      <c r="AG9" s="407" t="s">
        <v>17</v>
      </c>
    </row>
    <row r="10" spans="1:33" s="2" customFormat="1" ht="18" customHeight="1" x14ac:dyDescent="0.3">
      <c r="A10" s="328" t="s">
        <v>120</v>
      </c>
      <c r="B10" s="50"/>
      <c r="C10" s="50"/>
      <c r="D10" s="40" t="s">
        <v>88</v>
      </c>
      <c r="E10" s="51"/>
      <c r="F10" s="326" t="s">
        <v>627</v>
      </c>
      <c r="G10" s="311" t="s">
        <v>564</v>
      </c>
      <c r="H10" s="24"/>
      <c r="I10" s="24"/>
      <c r="J10" s="24"/>
      <c r="K10" s="24"/>
      <c r="AE10" s="407" t="s">
        <v>91</v>
      </c>
      <c r="AF10" s="407" t="s">
        <v>91</v>
      </c>
      <c r="AG10" s="407" t="s">
        <v>91</v>
      </c>
    </row>
    <row r="11" spans="1:33" s="2" customFormat="1" ht="18" customHeight="1" x14ac:dyDescent="0.3">
      <c r="A11" s="328" t="s">
        <v>123</v>
      </c>
      <c r="B11" s="1"/>
      <c r="C11" s="1"/>
      <c r="D11" s="39" t="s">
        <v>89</v>
      </c>
      <c r="E11" s="42"/>
      <c r="F11" s="326" t="s">
        <v>628</v>
      </c>
      <c r="G11" s="311" t="s">
        <v>565</v>
      </c>
      <c r="H11" s="24"/>
      <c r="I11" s="24"/>
      <c r="J11" s="24"/>
      <c r="K11" s="24"/>
      <c r="AE11" s="407" t="s">
        <v>92</v>
      </c>
      <c r="AF11" s="407" t="s">
        <v>1</v>
      </c>
      <c r="AG11" s="407" t="s">
        <v>17</v>
      </c>
    </row>
    <row r="12" spans="1:33" s="2" customFormat="1" ht="18" customHeight="1" x14ac:dyDescent="0.3">
      <c r="A12" s="328" t="s">
        <v>191</v>
      </c>
      <c r="B12" s="1"/>
      <c r="C12" s="1"/>
      <c r="D12" s="39" t="s">
        <v>90</v>
      </c>
      <c r="E12" s="42"/>
      <c r="F12" s="326" t="s">
        <v>571</v>
      </c>
      <c r="G12" s="311" t="s">
        <v>566</v>
      </c>
      <c r="H12" s="24"/>
      <c r="I12" s="24"/>
      <c r="J12" s="24"/>
      <c r="K12" s="24"/>
      <c r="AE12" s="407" t="s">
        <v>93</v>
      </c>
      <c r="AF12" s="407" t="s">
        <v>1</v>
      </c>
      <c r="AG12" s="407" t="s">
        <v>17</v>
      </c>
    </row>
    <row r="13" spans="1:33" s="2" customFormat="1" ht="18" customHeight="1" x14ac:dyDescent="0.3">
      <c r="A13" s="329"/>
      <c r="B13" s="1"/>
      <c r="C13" s="1"/>
      <c r="D13" s="39" t="s">
        <v>91</v>
      </c>
      <c r="E13" s="42"/>
      <c r="F13" s="326" t="s">
        <v>572</v>
      </c>
      <c r="G13" s="311" t="s">
        <v>567</v>
      </c>
      <c r="H13" s="24"/>
      <c r="I13" s="24"/>
      <c r="J13" s="24"/>
      <c r="K13" s="24"/>
      <c r="AE13" s="407" t="s">
        <v>95</v>
      </c>
      <c r="AF13" s="407" t="s">
        <v>566</v>
      </c>
      <c r="AG13" s="407" t="s">
        <v>627</v>
      </c>
    </row>
    <row r="14" spans="1:33" s="2" customFormat="1" ht="18" customHeight="1" x14ac:dyDescent="0.3">
      <c r="A14" s="329"/>
      <c r="B14" s="1"/>
      <c r="C14" s="1"/>
      <c r="D14" s="39" t="s">
        <v>92</v>
      </c>
      <c r="E14" s="42"/>
      <c r="F14" s="326" t="s">
        <v>559</v>
      </c>
      <c r="G14" s="311" t="s">
        <v>568</v>
      </c>
      <c r="H14" s="24"/>
      <c r="I14" s="24"/>
      <c r="J14" s="24"/>
      <c r="K14" s="24"/>
      <c r="AE14" s="407" t="s">
        <v>96</v>
      </c>
      <c r="AF14" s="407" t="s">
        <v>572</v>
      </c>
      <c r="AG14" s="407" t="s">
        <v>572</v>
      </c>
    </row>
    <row r="15" spans="1:33" s="2" customFormat="1" ht="18" customHeight="1" x14ac:dyDescent="0.3">
      <c r="A15" s="329"/>
      <c r="B15" s="41"/>
      <c r="C15" s="41"/>
      <c r="D15" s="29" t="s">
        <v>93</v>
      </c>
      <c r="E15" s="52"/>
      <c r="F15" s="326" t="s">
        <v>91</v>
      </c>
      <c r="G15" s="311" t="s">
        <v>1</v>
      </c>
      <c r="H15" s="24"/>
      <c r="I15" s="24"/>
      <c r="J15" s="24"/>
      <c r="K15" s="24"/>
      <c r="AE15" s="407" t="s">
        <v>97</v>
      </c>
      <c r="AF15" s="407" t="s">
        <v>572</v>
      </c>
      <c r="AG15" s="407" t="s">
        <v>572</v>
      </c>
    </row>
    <row r="16" spans="1:33" s="2" customFormat="1" ht="18" customHeight="1" x14ac:dyDescent="0.3">
      <c r="A16" s="329"/>
      <c r="B16" s="50"/>
      <c r="C16" s="50"/>
      <c r="D16" s="40" t="s">
        <v>95</v>
      </c>
      <c r="E16" s="51"/>
      <c r="F16" s="326" t="s">
        <v>1</v>
      </c>
      <c r="G16" s="311" t="s">
        <v>569</v>
      </c>
      <c r="H16" s="24"/>
      <c r="I16" s="24"/>
      <c r="J16" s="24"/>
      <c r="K16" s="24"/>
      <c r="AE16" s="407" t="s">
        <v>98</v>
      </c>
      <c r="AF16" s="407" t="s">
        <v>560</v>
      </c>
      <c r="AG16" s="407" t="s">
        <v>560</v>
      </c>
    </row>
    <row r="17" spans="1:33" s="2" customFormat="1" ht="18" customHeight="1" x14ac:dyDescent="0.3">
      <c r="A17" s="329"/>
      <c r="B17" s="1"/>
      <c r="C17" s="1"/>
      <c r="D17" s="39" t="s">
        <v>96</v>
      </c>
      <c r="E17" s="42"/>
      <c r="F17" s="326"/>
      <c r="G17" s="311" t="s">
        <v>570</v>
      </c>
      <c r="H17" s="24"/>
      <c r="I17" s="24"/>
      <c r="J17" s="24"/>
      <c r="K17" s="24"/>
      <c r="AE17" s="407" t="s">
        <v>91</v>
      </c>
      <c r="AF17" s="407" t="s">
        <v>91</v>
      </c>
      <c r="AG17" s="407" t="s">
        <v>91</v>
      </c>
    </row>
    <row r="18" spans="1:33" s="2" customFormat="1" ht="18" customHeight="1" x14ac:dyDescent="0.3">
      <c r="A18" s="329"/>
      <c r="B18" s="1"/>
      <c r="C18" s="1"/>
      <c r="D18" s="39" t="s">
        <v>97</v>
      </c>
      <c r="E18" s="42"/>
      <c r="F18" s="326"/>
      <c r="G18" s="311" t="s">
        <v>571</v>
      </c>
      <c r="H18" s="24"/>
      <c r="I18" s="24"/>
      <c r="J18" s="24"/>
      <c r="K18" s="24"/>
      <c r="AE18" s="407" t="s">
        <v>99</v>
      </c>
      <c r="AF18" s="407" t="s">
        <v>560</v>
      </c>
      <c r="AG18" s="407" t="s">
        <v>560</v>
      </c>
    </row>
    <row r="19" spans="1:33" s="2" customFormat="1" ht="18" customHeight="1" x14ac:dyDescent="0.3">
      <c r="A19" s="329"/>
      <c r="B19" s="1"/>
      <c r="C19" s="1"/>
      <c r="D19" s="39" t="s">
        <v>98</v>
      </c>
      <c r="E19" s="42"/>
      <c r="F19" s="326"/>
      <c r="G19" s="311" t="s">
        <v>572</v>
      </c>
      <c r="H19" s="24"/>
      <c r="I19" s="24"/>
      <c r="J19" s="24"/>
      <c r="K19" s="24"/>
      <c r="AE19" s="407" t="s">
        <v>100</v>
      </c>
      <c r="AF19" s="407" t="s">
        <v>563</v>
      </c>
      <c r="AG19" s="407" t="s">
        <v>625</v>
      </c>
    </row>
    <row r="20" spans="1:33" s="2" customFormat="1" ht="18" customHeight="1" x14ac:dyDescent="0.3">
      <c r="A20" s="329"/>
      <c r="B20" s="1"/>
      <c r="C20" s="1"/>
      <c r="D20" s="39" t="s">
        <v>91</v>
      </c>
      <c r="E20" s="42"/>
      <c r="F20" s="326"/>
      <c r="G20" s="311" t="s">
        <v>91</v>
      </c>
      <c r="H20" s="24"/>
      <c r="I20" s="24"/>
      <c r="J20" s="24"/>
      <c r="K20" s="24"/>
      <c r="AE20" s="407" t="s">
        <v>101</v>
      </c>
      <c r="AF20" s="407" t="s">
        <v>564</v>
      </c>
      <c r="AG20" s="407" t="s">
        <v>625</v>
      </c>
    </row>
    <row r="21" spans="1:33" s="2" customFormat="1" ht="18" customHeight="1" x14ac:dyDescent="0.3">
      <c r="A21" s="329"/>
      <c r="B21" s="1"/>
      <c r="C21" s="1"/>
      <c r="D21" s="39" t="s">
        <v>99</v>
      </c>
      <c r="E21" s="42"/>
      <c r="F21" s="326"/>
      <c r="G21" s="311"/>
      <c r="H21" s="24"/>
      <c r="I21" s="24"/>
      <c r="J21" s="24"/>
      <c r="K21" s="24"/>
      <c r="AE21" s="407" t="s">
        <v>102</v>
      </c>
      <c r="AF21" s="407" t="s">
        <v>568</v>
      </c>
      <c r="AG21" s="407" t="s">
        <v>1</v>
      </c>
    </row>
    <row r="22" spans="1:33" s="2" customFormat="1" ht="18" customHeight="1" x14ac:dyDescent="0.3">
      <c r="A22" s="329"/>
      <c r="B22" s="1"/>
      <c r="C22" s="1"/>
      <c r="D22" s="39" t="s">
        <v>100</v>
      </c>
      <c r="E22" s="42"/>
      <c r="F22" s="326"/>
      <c r="G22" s="311"/>
      <c r="H22" s="24"/>
      <c r="I22" s="24"/>
      <c r="J22" s="24"/>
      <c r="K22" s="24"/>
      <c r="AE22" s="407" t="s">
        <v>103</v>
      </c>
      <c r="AF22" s="407" t="s">
        <v>563</v>
      </c>
      <c r="AG22" s="407" t="s">
        <v>626</v>
      </c>
    </row>
    <row r="23" spans="1:33" s="2" customFormat="1" ht="18" customHeight="1" x14ac:dyDescent="0.3">
      <c r="A23" s="329"/>
      <c r="B23" s="1"/>
      <c r="C23" s="1"/>
      <c r="D23" s="39" t="s">
        <v>101</v>
      </c>
      <c r="E23" s="42"/>
      <c r="F23" s="326"/>
      <c r="G23" s="311"/>
      <c r="H23" s="24"/>
      <c r="I23" s="24"/>
      <c r="J23" s="24"/>
      <c r="K23" s="24"/>
      <c r="AE23" s="407" t="s">
        <v>105</v>
      </c>
      <c r="AF23" s="407" t="s">
        <v>560</v>
      </c>
      <c r="AG23" s="407" t="s">
        <v>560</v>
      </c>
    </row>
    <row r="24" spans="1:33" s="2" customFormat="1" ht="18" customHeight="1" x14ac:dyDescent="0.3">
      <c r="A24" s="329"/>
      <c r="B24" s="1"/>
      <c r="C24" s="1"/>
      <c r="D24" s="39" t="s">
        <v>102</v>
      </c>
      <c r="E24" s="42"/>
      <c r="F24" s="326"/>
      <c r="G24" s="311"/>
      <c r="H24" s="24"/>
      <c r="I24" s="24"/>
      <c r="J24" s="24"/>
      <c r="K24" s="24"/>
      <c r="AE24" s="407" t="s">
        <v>99</v>
      </c>
      <c r="AF24" s="407" t="s">
        <v>560</v>
      </c>
      <c r="AG24" s="407" t="s">
        <v>560</v>
      </c>
    </row>
    <row r="25" spans="1:33" s="2" customFormat="1" ht="18" customHeight="1" x14ac:dyDescent="0.3">
      <c r="A25" s="329"/>
      <c r="B25" s="41"/>
      <c r="C25" s="41"/>
      <c r="D25" s="29" t="s">
        <v>103</v>
      </c>
      <c r="E25" s="52"/>
      <c r="F25" s="326"/>
      <c r="G25" s="311"/>
      <c r="H25" s="24"/>
      <c r="I25" s="24"/>
      <c r="J25" s="24"/>
      <c r="K25" s="24"/>
      <c r="AE25" s="407" t="s">
        <v>106</v>
      </c>
      <c r="AF25" s="407" t="s">
        <v>571</v>
      </c>
      <c r="AG25" s="407" t="s">
        <v>571</v>
      </c>
    </row>
    <row r="26" spans="1:33" s="2" customFormat="1" ht="18" customHeight="1" x14ac:dyDescent="0.3">
      <c r="A26" s="329"/>
      <c r="B26" s="50"/>
      <c r="C26" s="50"/>
      <c r="D26" s="40" t="s">
        <v>105</v>
      </c>
      <c r="E26" s="51"/>
      <c r="F26" s="326"/>
      <c r="G26" s="311"/>
      <c r="H26" s="24"/>
      <c r="I26" s="24"/>
      <c r="J26" s="24"/>
      <c r="K26" s="24"/>
      <c r="AE26" s="407" t="s">
        <v>107</v>
      </c>
      <c r="AF26" s="407" t="s">
        <v>571</v>
      </c>
      <c r="AG26" s="407" t="s">
        <v>571</v>
      </c>
    </row>
    <row r="27" spans="1:33" s="2" customFormat="1" ht="18" customHeight="1" x14ac:dyDescent="0.3">
      <c r="A27" s="329"/>
      <c r="B27" s="1"/>
      <c r="C27" s="1"/>
      <c r="D27" s="39" t="s">
        <v>99</v>
      </c>
      <c r="E27" s="42"/>
      <c r="F27" s="326"/>
      <c r="G27" s="311"/>
      <c r="H27" s="24"/>
      <c r="I27" s="24"/>
      <c r="J27" s="24"/>
      <c r="K27" s="24"/>
      <c r="AE27" s="407" t="s">
        <v>108</v>
      </c>
      <c r="AF27" s="407" t="s">
        <v>572</v>
      </c>
      <c r="AG27" s="407" t="s">
        <v>572</v>
      </c>
    </row>
    <row r="28" spans="1:33" s="2" customFormat="1" ht="18" customHeight="1" x14ac:dyDescent="0.3">
      <c r="A28" s="329"/>
      <c r="B28" s="1"/>
      <c r="C28" s="1"/>
      <c r="D28" s="39" t="s">
        <v>106</v>
      </c>
      <c r="E28" s="42"/>
      <c r="F28" s="326"/>
      <c r="G28" s="311"/>
      <c r="H28" s="24"/>
      <c r="I28" s="24"/>
      <c r="J28" s="24"/>
      <c r="K28" s="24"/>
      <c r="AE28" s="407" t="s">
        <v>109</v>
      </c>
      <c r="AF28" s="407" t="s">
        <v>572</v>
      </c>
      <c r="AG28" s="407" t="s">
        <v>572</v>
      </c>
    </row>
    <row r="29" spans="1:33" s="2" customFormat="1" ht="18" customHeight="1" x14ac:dyDescent="0.3">
      <c r="A29" s="329"/>
      <c r="B29" s="1"/>
      <c r="C29" s="1"/>
      <c r="D29" s="39" t="s">
        <v>107</v>
      </c>
      <c r="E29" s="42"/>
      <c r="F29" s="326"/>
      <c r="G29" s="311"/>
      <c r="H29" s="24"/>
      <c r="I29" s="24"/>
      <c r="J29" s="24"/>
      <c r="K29" s="24"/>
      <c r="AE29" s="407" t="s">
        <v>110</v>
      </c>
      <c r="AF29" s="407" t="s">
        <v>567</v>
      </c>
      <c r="AG29" s="407" t="s">
        <v>627</v>
      </c>
    </row>
    <row r="30" spans="1:33" s="2" customFormat="1" ht="18" customHeight="1" x14ac:dyDescent="0.3">
      <c r="A30" s="329"/>
      <c r="B30" s="1"/>
      <c r="C30" s="1"/>
      <c r="D30" s="39" t="s">
        <v>108</v>
      </c>
      <c r="E30" s="42"/>
      <c r="F30" s="326"/>
      <c r="G30" s="311"/>
      <c r="H30" s="24"/>
      <c r="I30" s="24"/>
      <c r="J30" s="24"/>
      <c r="K30" s="24"/>
      <c r="AE30" s="407" t="s">
        <v>103</v>
      </c>
      <c r="AF30" s="407" t="s">
        <v>563</v>
      </c>
      <c r="AG30" s="407" t="s">
        <v>626</v>
      </c>
    </row>
    <row r="31" spans="1:33" s="2" customFormat="1" ht="18" customHeight="1" x14ac:dyDescent="0.3">
      <c r="A31" s="329"/>
      <c r="B31" s="1"/>
      <c r="C31" s="1"/>
      <c r="D31" s="39" t="s">
        <v>109</v>
      </c>
      <c r="E31" s="42"/>
      <c r="F31" s="326"/>
      <c r="G31" s="311"/>
      <c r="H31" s="24"/>
      <c r="I31" s="24"/>
      <c r="J31" s="24"/>
      <c r="K31" s="24"/>
      <c r="AE31" s="407" t="s">
        <v>112</v>
      </c>
      <c r="AF31" s="407" t="s">
        <v>567</v>
      </c>
      <c r="AG31" s="407" t="s">
        <v>627</v>
      </c>
    </row>
    <row r="32" spans="1:33" s="2" customFormat="1" ht="18" customHeight="1" x14ac:dyDescent="0.3">
      <c r="A32" s="329"/>
      <c r="B32" s="1"/>
      <c r="C32" s="1"/>
      <c r="D32" s="39" t="s">
        <v>110</v>
      </c>
      <c r="E32" s="42"/>
      <c r="F32" s="326"/>
      <c r="G32" s="311"/>
      <c r="H32" s="24"/>
      <c r="I32" s="24"/>
      <c r="J32" s="24"/>
      <c r="K32" s="24"/>
      <c r="AE32" s="407" t="s">
        <v>113</v>
      </c>
      <c r="AF32" s="407" t="s">
        <v>567</v>
      </c>
      <c r="AG32" s="407" t="s">
        <v>627</v>
      </c>
    </row>
    <row r="33" spans="1:33" s="2" customFormat="1" ht="18" customHeight="1" x14ac:dyDescent="0.3">
      <c r="A33" s="329"/>
      <c r="B33" s="41"/>
      <c r="C33" s="41"/>
      <c r="D33" s="29" t="s">
        <v>103</v>
      </c>
      <c r="E33" s="52"/>
      <c r="F33" s="326"/>
      <c r="G33" s="311"/>
      <c r="H33" s="24"/>
      <c r="I33" s="24"/>
      <c r="J33" s="24"/>
      <c r="K33" s="24"/>
      <c r="AE33" s="407" t="s">
        <v>114</v>
      </c>
      <c r="AF33" s="407" t="s">
        <v>567</v>
      </c>
      <c r="AG33" s="407" t="s">
        <v>627</v>
      </c>
    </row>
    <row r="34" spans="1:33" s="2" customFormat="1" ht="18" customHeight="1" x14ac:dyDescent="0.3">
      <c r="A34" s="329"/>
      <c r="B34" s="50"/>
      <c r="C34" s="50"/>
      <c r="D34" s="40" t="s">
        <v>112</v>
      </c>
      <c r="E34" s="51"/>
      <c r="F34" s="326"/>
      <c r="G34" s="311"/>
      <c r="H34" s="24"/>
      <c r="I34" s="24"/>
      <c r="J34" s="24"/>
      <c r="K34" s="24"/>
      <c r="AE34" s="407" t="s">
        <v>115</v>
      </c>
      <c r="AF34" s="407" t="s">
        <v>1</v>
      </c>
      <c r="AG34" s="407" t="s">
        <v>627</v>
      </c>
    </row>
    <row r="35" spans="1:33" s="2" customFormat="1" ht="18" customHeight="1" x14ac:dyDescent="0.3">
      <c r="A35" s="329"/>
      <c r="B35" s="1"/>
      <c r="C35" s="1"/>
      <c r="D35" s="39" t="s">
        <v>113</v>
      </c>
      <c r="E35" s="42"/>
      <c r="F35" s="326"/>
      <c r="G35" s="311"/>
      <c r="H35" s="24"/>
      <c r="I35" s="24"/>
      <c r="J35" s="24"/>
      <c r="K35" s="24"/>
      <c r="AE35" s="407" t="s">
        <v>117</v>
      </c>
      <c r="AF35" s="407" t="s">
        <v>562</v>
      </c>
      <c r="AG35" s="407" t="s">
        <v>561</v>
      </c>
    </row>
    <row r="36" spans="1:33" s="2" customFormat="1" ht="18" customHeight="1" x14ac:dyDescent="0.3">
      <c r="A36" s="329"/>
      <c r="B36" s="1"/>
      <c r="C36" s="1"/>
      <c r="D36" s="39" t="s">
        <v>114</v>
      </c>
      <c r="E36" s="42"/>
      <c r="F36" s="326"/>
      <c r="G36" s="311"/>
      <c r="H36" s="24"/>
      <c r="I36" s="24"/>
      <c r="J36" s="24"/>
      <c r="K36" s="24"/>
      <c r="AE36" s="407" t="s">
        <v>118</v>
      </c>
      <c r="AF36" s="407" t="s">
        <v>561</v>
      </c>
      <c r="AG36" s="407" t="s">
        <v>561</v>
      </c>
    </row>
    <row r="37" spans="1:33" s="2" customFormat="1" ht="18" customHeight="1" x14ac:dyDescent="0.3">
      <c r="A37" s="329"/>
      <c r="B37" s="41"/>
      <c r="C37" s="41"/>
      <c r="D37" s="29" t="s">
        <v>115</v>
      </c>
      <c r="E37" s="52"/>
      <c r="F37" s="326"/>
      <c r="G37" s="311"/>
      <c r="H37" s="24"/>
      <c r="I37" s="24"/>
      <c r="J37" s="24"/>
      <c r="K37" s="24"/>
      <c r="AE37" s="407" t="s">
        <v>119</v>
      </c>
      <c r="AF37" s="407" t="s">
        <v>561</v>
      </c>
      <c r="AG37" s="407" t="s">
        <v>561</v>
      </c>
    </row>
    <row r="38" spans="1:33" s="2" customFormat="1" ht="18" customHeight="1" x14ac:dyDescent="0.3">
      <c r="A38" s="329"/>
      <c r="B38" s="50"/>
      <c r="C38" s="50"/>
      <c r="D38" s="40" t="s">
        <v>117</v>
      </c>
      <c r="E38" s="51"/>
      <c r="F38" s="326"/>
      <c r="G38" s="311"/>
      <c r="H38" s="24"/>
      <c r="I38" s="24"/>
      <c r="J38" s="24"/>
      <c r="K38" s="24"/>
      <c r="AE38" s="407" t="s">
        <v>121</v>
      </c>
      <c r="AF38" s="407" t="s">
        <v>559</v>
      </c>
      <c r="AG38" s="407" t="s">
        <v>559</v>
      </c>
    </row>
    <row r="39" spans="1:33" s="2" customFormat="1" ht="18" customHeight="1" x14ac:dyDescent="0.3">
      <c r="A39" s="329"/>
      <c r="B39" s="1"/>
      <c r="C39" s="1"/>
      <c r="D39" s="39" t="s">
        <v>118</v>
      </c>
      <c r="E39" s="42"/>
      <c r="F39" s="326"/>
      <c r="G39" s="311"/>
      <c r="H39" s="24"/>
      <c r="I39" s="24"/>
      <c r="J39" s="24"/>
      <c r="K39" s="24"/>
      <c r="AE39" s="407" t="s">
        <v>122</v>
      </c>
      <c r="AF39" s="407" t="s">
        <v>558</v>
      </c>
      <c r="AG39" s="407" t="s">
        <v>624</v>
      </c>
    </row>
    <row r="40" spans="1:33" s="2" customFormat="1" ht="18" customHeight="1" x14ac:dyDescent="0.3">
      <c r="A40" s="329"/>
      <c r="B40" s="41"/>
      <c r="C40" s="41"/>
      <c r="D40" s="29" t="s">
        <v>119</v>
      </c>
      <c r="E40" s="52"/>
      <c r="F40" s="326"/>
      <c r="G40" s="311"/>
      <c r="H40" s="24"/>
      <c r="I40" s="24"/>
      <c r="J40" s="24"/>
      <c r="K40" s="24"/>
      <c r="AE40" s="407" t="s">
        <v>124</v>
      </c>
      <c r="AF40" s="407" t="s">
        <v>627</v>
      </c>
      <c r="AG40" s="407" t="s">
        <v>627</v>
      </c>
    </row>
    <row r="41" spans="1:33" s="2" customFormat="1" ht="18" customHeight="1" x14ac:dyDescent="0.3">
      <c r="A41" s="329"/>
      <c r="B41" s="50"/>
      <c r="C41" s="50"/>
      <c r="D41" s="40" t="s">
        <v>121</v>
      </c>
      <c r="E41" s="51"/>
      <c r="F41" s="326"/>
      <c r="G41" s="311"/>
      <c r="H41" s="24"/>
      <c r="I41" s="24"/>
      <c r="J41" s="24"/>
      <c r="K41" s="24"/>
      <c r="AE41" s="407" t="s">
        <v>125</v>
      </c>
      <c r="AF41" s="407" t="s">
        <v>627</v>
      </c>
      <c r="AG41" s="407" t="s">
        <v>627</v>
      </c>
    </row>
    <row r="42" spans="1:33" s="2" customFormat="1" ht="18" customHeight="1" x14ac:dyDescent="0.3">
      <c r="A42" s="329"/>
      <c r="B42" s="41"/>
      <c r="C42" s="41"/>
      <c r="D42" s="29" t="s">
        <v>122</v>
      </c>
      <c r="E42" s="52"/>
      <c r="F42" s="326"/>
      <c r="G42" s="311"/>
      <c r="H42" s="24"/>
      <c r="I42" s="24"/>
      <c r="J42" s="24"/>
      <c r="K42" s="24"/>
      <c r="AE42" s="407" t="s">
        <v>126</v>
      </c>
      <c r="AF42" s="407" t="s">
        <v>1</v>
      </c>
      <c r="AG42" s="407" t="s">
        <v>628</v>
      </c>
    </row>
    <row r="43" spans="1:33" s="2" customFormat="1" ht="18" customHeight="1" x14ac:dyDescent="0.3">
      <c r="A43" s="329"/>
      <c r="B43" s="50"/>
      <c r="C43" s="50"/>
      <c r="D43" s="40" t="s">
        <v>124</v>
      </c>
      <c r="E43" s="51"/>
      <c r="F43" s="326"/>
      <c r="G43" s="311"/>
      <c r="H43" s="24"/>
      <c r="I43" s="24"/>
      <c r="J43" s="24"/>
      <c r="K43" s="24"/>
      <c r="AE43" s="407" t="s">
        <v>127</v>
      </c>
      <c r="AF43" s="407" t="s">
        <v>1</v>
      </c>
      <c r="AG43" s="407" t="s">
        <v>628</v>
      </c>
    </row>
    <row r="44" spans="1:33" s="2" customFormat="1" ht="18" customHeight="1" x14ac:dyDescent="0.3">
      <c r="A44" s="329"/>
      <c r="B44" s="1"/>
      <c r="C44" s="1"/>
      <c r="D44" s="39" t="s">
        <v>125</v>
      </c>
      <c r="E44" s="42"/>
      <c r="F44" s="326"/>
      <c r="G44" s="311"/>
      <c r="H44" s="24"/>
      <c r="I44" s="24"/>
      <c r="J44" s="24"/>
      <c r="K44" s="24"/>
    </row>
    <row r="45" spans="1:33" s="2" customFormat="1" ht="18" customHeight="1" x14ac:dyDescent="0.3">
      <c r="A45" s="329"/>
      <c r="B45" s="1"/>
      <c r="C45" s="1"/>
      <c r="D45" s="39" t="s">
        <v>126</v>
      </c>
      <c r="E45" s="42"/>
      <c r="F45" s="326"/>
      <c r="G45" s="311"/>
      <c r="H45" s="24"/>
      <c r="I45" s="24"/>
      <c r="J45"/>
      <c r="K45"/>
    </row>
    <row r="46" spans="1:33" s="2" customFormat="1" ht="18" customHeight="1" x14ac:dyDescent="0.3">
      <c r="A46" s="329"/>
      <c r="B46" s="41"/>
      <c r="C46" s="41"/>
      <c r="D46" s="29" t="s">
        <v>127</v>
      </c>
      <c r="E46" s="52"/>
      <c r="F46" s="326"/>
      <c r="G46" s="311"/>
      <c r="H46" s="24"/>
      <c r="I46" s="24"/>
      <c r="J46"/>
      <c r="K46"/>
    </row>
    <row r="47" spans="1:33" s="2" customFormat="1" ht="18" customHeight="1" x14ac:dyDescent="0.3">
      <c r="A47" s="329"/>
      <c r="B47" s="39"/>
      <c r="C47" s="39"/>
      <c r="D47" s="39"/>
      <c r="E47" s="42"/>
      <c r="F47" s="326"/>
      <c r="G47" s="311"/>
      <c r="H47" s="24"/>
      <c r="I47" s="24"/>
      <c r="J47"/>
      <c r="K47"/>
    </row>
    <row r="48" spans="1:33" s="2" customFormat="1" ht="18" customHeight="1" thickBot="1" x14ac:dyDescent="0.35">
      <c r="A48" s="329"/>
      <c r="B48" s="43"/>
      <c r="C48" s="43"/>
      <c r="D48" s="43"/>
      <c r="E48" s="44"/>
      <c r="F48" s="326"/>
      <c r="G48" s="311"/>
      <c r="H48" s="24"/>
      <c r="I48" s="24"/>
      <c r="J48"/>
      <c r="K48"/>
    </row>
  </sheetData>
  <mergeCells count="2">
    <mergeCell ref="A1:C1"/>
    <mergeCell ref="D1:E1"/>
  </mergeCells>
  <conditionalFormatting sqref="I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54"/>
  <sheetViews>
    <sheetView view="pageBreakPreview" zoomScale="58" zoomScaleNormal="100" zoomScaleSheetLayoutView="58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2187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80" t="s">
        <v>268</v>
      </c>
      <c r="B1" s="281" t="s">
        <v>262</v>
      </c>
      <c r="C1" s="69" t="s">
        <v>284</v>
      </c>
      <c r="D1" s="69" t="s">
        <v>278</v>
      </c>
      <c r="E1" s="69" t="s">
        <v>320</v>
      </c>
      <c r="F1" s="69" t="s">
        <v>280</v>
      </c>
      <c r="G1" s="69" t="s">
        <v>279</v>
      </c>
      <c r="H1" s="69" t="s">
        <v>266</v>
      </c>
      <c r="I1" s="69" t="s">
        <v>263</v>
      </c>
      <c r="J1" s="69" t="s">
        <v>281</v>
      </c>
      <c r="K1" s="69" t="s">
        <v>282</v>
      </c>
      <c r="L1" s="69" t="s">
        <v>283</v>
      </c>
      <c r="M1" s="71" t="s">
        <v>273</v>
      </c>
      <c r="AB1" s="415" t="s">
        <v>744</v>
      </c>
      <c r="AC1" s="415" t="s">
        <v>745</v>
      </c>
    </row>
    <row r="2" spans="1:33" s="3" customFormat="1" ht="48.75" customHeight="1" x14ac:dyDescent="0.4">
      <c r="A2" s="428" t="s">
        <v>7</v>
      </c>
      <c r="B2" s="62" t="s">
        <v>4</v>
      </c>
      <c r="C2" s="258"/>
      <c r="D2" s="349"/>
      <c r="E2" s="259"/>
      <c r="F2" s="259"/>
      <c r="G2" s="260"/>
      <c r="H2" s="343"/>
      <c r="I2" s="343"/>
      <c r="J2" s="344"/>
      <c r="K2" s="261"/>
      <c r="L2" s="261"/>
      <c r="M2" s="262"/>
      <c r="O2" s="408" t="s">
        <v>734</v>
      </c>
      <c r="S2" s="2"/>
      <c r="U2" s="2"/>
      <c r="V2" s="2"/>
      <c r="W2" s="2"/>
      <c r="AB2" s="416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413" t="str">
        <f>IF(OR('Outdoor Lighting'!$D$2="Incandescent",'Outdoor Lighting'!$D$2="Halogen"),VLOOKUP('Outdoor Lighting'!$D$2&amp;", "&amp;'Outdoor Lighting'!$H$2,LightTrans!$A$2:$B$83,2,FALSE), "")</f>
        <v/>
      </c>
      <c r="AE2" s="413" t="str">
        <f>IF('Outdoor Lighting'!$D$2="CFL", VLOOKUP('Outdoor Lighting'!$D$2&amp;", "&amp;'Outdoor Lighting'!$H$2, LightTrans!$A$2:$B$83, 2, FALSE), "")</f>
        <v/>
      </c>
      <c r="AF2" s="41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41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28"/>
      <c r="B3" s="57" t="s">
        <v>4</v>
      </c>
      <c r="C3" s="263"/>
      <c r="D3" s="350"/>
      <c r="E3" s="264"/>
      <c r="F3" s="264"/>
      <c r="G3" s="265"/>
      <c r="H3" s="345"/>
      <c r="I3" s="345"/>
      <c r="J3" s="346"/>
      <c r="K3" s="266"/>
      <c r="L3" s="261"/>
      <c r="M3" s="267"/>
      <c r="O3" s="408" t="s">
        <v>735</v>
      </c>
      <c r="S3" s="2" t="s">
        <v>663</v>
      </c>
      <c r="U3" s="2" t="s">
        <v>676</v>
      </c>
      <c r="V3" s="2" t="s">
        <v>682</v>
      </c>
      <c r="W3" s="2" t="s">
        <v>687</v>
      </c>
      <c r="X3" s="3" t="s">
        <v>661</v>
      </c>
      <c r="AB3" s="416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413" t="str">
        <f>IF(OR('Outdoor Lighting'!$D$3="Incandescent",'Outdoor Lighting'!$D$3="Halogen"),VLOOKUP('Outdoor Lighting'!$D$3&amp;", "&amp;'Outdoor Lighting'!$H$3,LightTrans!$A$2:$B$83,2,FALSE), "")</f>
        <v/>
      </c>
      <c r="AE3" s="413" t="str">
        <f>IF('Outdoor Lighting'!$D$3="CFL", VLOOKUP('Outdoor Lighting'!$D$3&amp;", "&amp;'Outdoor Lighting'!$H$3, LightTrans!$A$2:$B$83, 2, FALSE), "")</f>
        <v/>
      </c>
      <c r="AF3" s="41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41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28"/>
      <c r="B4" s="57" t="s">
        <v>4</v>
      </c>
      <c r="C4" s="263"/>
      <c r="D4" s="350"/>
      <c r="E4" s="264"/>
      <c r="F4" s="264"/>
      <c r="G4" s="265"/>
      <c r="H4" s="345"/>
      <c r="I4" s="345"/>
      <c r="J4" s="346"/>
      <c r="K4" s="266"/>
      <c r="L4" s="261"/>
      <c r="M4" s="267"/>
      <c r="S4" s="2" t="s">
        <v>664</v>
      </c>
      <c r="U4" s="2" t="s">
        <v>677</v>
      </c>
      <c r="V4" s="2" t="s">
        <v>683</v>
      </c>
      <c r="W4" s="2" t="s">
        <v>688</v>
      </c>
      <c r="X4" s="3" t="s">
        <v>662</v>
      </c>
      <c r="AB4" s="416" t="str">
        <f t="shared" si="0"/>
        <v/>
      </c>
      <c r="AC4" s="3" t="str">
        <f t="shared" si="1"/>
        <v/>
      </c>
      <c r="AD4" s="413" t="str">
        <f>IF(OR('Outdoor Lighting'!$D$4="Incandescent",'Outdoor Lighting'!$D$4="Halogen"),VLOOKUP('Outdoor Lighting'!$D$4&amp;", "&amp;'Outdoor Lighting'!$H$4,LightTrans!$A$2:$B$83,2,FALSE), "")</f>
        <v/>
      </c>
      <c r="AE4" s="413" t="str">
        <f>IF('Outdoor Lighting'!$D$4="CFL", VLOOKUP('Outdoor Lighting'!$D$4&amp;", "&amp;'Outdoor Lighting'!$H$4, LightTrans!$A$2:$B$83, 2, FALSE), "")</f>
        <v/>
      </c>
      <c r="AF4" s="41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41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28"/>
      <c r="B5" s="57" t="s">
        <v>8</v>
      </c>
      <c r="C5" s="263"/>
      <c r="D5" s="350"/>
      <c r="E5" s="264"/>
      <c r="F5" s="264"/>
      <c r="G5" s="265"/>
      <c r="H5" s="345"/>
      <c r="I5" s="345"/>
      <c r="J5" s="346"/>
      <c r="K5" s="266"/>
      <c r="L5" s="261"/>
      <c r="M5" s="267"/>
      <c r="S5" s="2" t="s">
        <v>665</v>
      </c>
      <c r="U5" s="2" t="s">
        <v>678</v>
      </c>
      <c r="V5" s="2" t="s">
        <v>684</v>
      </c>
      <c r="W5" s="2" t="s">
        <v>689</v>
      </c>
      <c r="AB5" s="416" t="str">
        <f t="shared" si="0"/>
        <v/>
      </c>
      <c r="AC5" s="3" t="str">
        <f t="shared" si="1"/>
        <v/>
      </c>
      <c r="AD5" s="413" t="str">
        <f>IF(OR('Outdoor Lighting'!$D$5="Incandescent",'Outdoor Lighting'!$D$5="Halogen"),VLOOKUP('Outdoor Lighting'!$D$5&amp;", "&amp;'Outdoor Lighting'!$H$5,LightTrans!$A$2:$B$83,2,FALSE), "")</f>
        <v/>
      </c>
      <c r="AE5" s="413" t="str">
        <f>IF('Outdoor Lighting'!$D$5="CFL", VLOOKUP('Outdoor Lighting'!$D$5&amp;", "&amp;'Outdoor Lighting'!$H$5, LightTrans!$A$2:$B$83, 2, FALSE), "")</f>
        <v/>
      </c>
      <c r="AF5" s="41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41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28"/>
      <c r="B6" s="57" t="s">
        <v>8</v>
      </c>
      <c r="C6" s="263"/>
      <c r="D6" s="350"/>
      <c r="E6" s="264"/>
      <c r="F6" s="264"/>
      <c r="G6" s="265"/>
      <c r="H6" s="345"/>
      <c r="I6" s="345"/>
      <c r="J6" s="346"/>
      <c r="K6" s="266"/>
      <c r="L6" s="261"/>
      <c r="M6" s="267"/>
      <c r="S6" s="2" t="s">
        <v>666</v>
      </c>
      <c r="U6" s="2" t="s">
        <v>679</v>
      </c>
      <c r="V6" s="2" t="s">
        <v>685</v>
      </c>
      <c r="W6" s="2" t="s">
        <v>690</v>
      </c>
      <c r="AB6" s="416" t="str">
        <f t="shared" si="0"/>
        <v/>
      </c>
      <c r="AC6" s="3" t="str">
        <f t="shared" si="1"/>
        <v/>
      </c>
      <c r="AD6" s="413" t="str">
        <f>IF(OR('Outdoor Lighting'!$D$6="Incandescent",'Outdoor Lighting'!$D$6="Halogen"),VLOOKUP('Outdoor Lighting'!$D$6&amp;", "&amp;'Outdoor Lighting'!$H$6,LightTrans!$A$2:$B$83,2,FALSE), "")</f>
        <v/>
      </c>
      <c r="AE6" s="413" t="str">
        <f>IF('Outdoor Lighting'!$D$6="CFL", VLOOKUP('Outdoor Lighting'!$D$6&amp;", "&amp;'Outdoor Lighting'!$H$6, LightTrans!$A$2:$B$83, 2, FALSE), "")</f>
        <v/>
      </c>
      <c r="AF6" s="41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41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28"/>
      <c r="B7" s="57" t="s">
        <v>9</v>
      </c>
      <c r="C7" s="263"/>
      <c r="D7" s="350"/>
      <c r="E7" s="264"/>
      <c r="F7" s="264"/>
      <c r="G7" s="265"/>
      <c r="H7" s="345"/>
      <c r="I7" s="345"/>
      <c r="J7" s="346"/>
      <c r="K7" s="266"/>
      <c r="L7" s="261"/>
      <c r="M7" s="267"/>
      <c r="S7" s="2" t="s">
        <v>667</v>
      </c>
      <c r="U7" s="2" t="s">
        <v>680</v>
      </c>
      <c r="V7" s="2" t="s">
        <v>686</v>
      </c>
      <c r="W7" s="3" t="s">
        <v>696</v>
      </c>
      <c r="AB7" s="416" t="str">
        <f t="shared" si="0"/>
        <v/>
      </c>
      <c r="AC7" s="3" t="str">
        <f t="shared" si="1"/>
        <v/>
      </c>
      <c r="AD7" s="413" t="str">
        <f>IF(OR('Outdoor Lighting'!$D$7="Incandescent",'Outdoor Lighting'!$D$7="Halogen"),VLOOKUP('Outdoor Lighting'!$D$7&amp;", "&amp;'Outdoor Lighting'!$H$7,LightTrans!$A$2:$B$83,2,FALSE), "")</f>
        <v/>
      </c>
      <c r="AE7" s="413" t="str">
        <f>IF('Outdoor Lighting'!$D$7="CFL", VLOOKUP('Outdoor Lighting'!$D$7&amp;", "&amp;'Outdoor Lighting'!$H$7, LightTrans!$A$2:$B$83, 2, FALSE), "")</f>
        <v/>
      </c>
      <c r="AF7" s="41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41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28"/>
      <c r="B8" s="57" t="s">
        <v>9</v>
      </c>
      <c r="C8" s="263"/>
      <c r="D8" s="350"/>
      <c r="E8" s="264"/>
      <c r="F8" s="264"/>
      <c r="G8" s="265"/>
      <c r="H8" s="345"/>
      <c r="I8" s="345"/>
      <c r="J8" s="346"/>
      <c r="K8" s="266"/>
      <c r="L8" s="261"/>
      <c r="M8" s="267"/>
      <c r="S8" s="2" t="s">
        <v>668</v>
      </c>
      <c r="U8" s="2" t="s">
        <v>701</v>
      </c>
      <c r="V8" s="3" t="s">
        <v>699</v>
      </c>
      <c r="W8" s="3" t="s">
        <v>697</v>
      </c>
      <c r="AB8" s="416" t="str">
        <f t="shared" si="0"/>
        <v/>
      </c>
      <c r="AC8" s="3" t="str">
        <f t="shared" si="1"/>
        <v/>
      </c>
      <c r="AD8" s="413" t="str">
        <f>IF(OR('Outdoor Lighting'!$D$8="Incandescent",'Outdoor Lighting'!$D$8="Halogen"),VLOOKUP('Outdoor Lighting'!$D$8&amp;", "&amp;'Outdoor Lighting'!$H$8,LightTrans!$A$2:$B$83,2,FALSE), "")</f>
        <v/>
      </c>
      <c r="AE8" s="413" t="str">
        <f>IF('Outdoor Lighting'!$D$8="CFL", VLOOKUP('Outdoor Lighting'!$D$8&amp;", "&amp;'Outdoor Lighting'!$H$8, LightTrans!$A$2:$B$83, 2, FALSE), "")</f>
        <v/>
      </c>
      <c r="AF8" s="41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41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28"/>
      <c r="B9" s="57" t="s">
        <v>267</v>
      </c>
      <c r="C9" s="263"/>
      <c r="D9" s="350"/>
      <c r="E9" s="264"/>
      <c r="F9" s="264"/>
      <c r="G9" s="265"/>
      <c r="H9" s="345"/>
      <c r="I9" s="345"/>
      <c r="J9" s="346"/>
      <c r="K9" s="266"/>
      <c r="L9" s="261"/>
      <c r="M9" s="267"/>
      <c r="S9" s="2" t="s">
        <v>669</v>
      </c>
      <c r="U9" s="2" t="s">
        <v>681</v>
      </c>
      <c r="V9" s="3" t="s">
        <v>700</v>
      </c>
      <c r="W9" s="3" t="s">
        <v>698</v>
      </c>
      <c r="AB9" s="416" t="str">
        <f t="shared" si="0"/>
        <v/>
      </c>
      <c r="AC9" s="3" t="str">
        <f t="shared" si="1"/>
        <v/>
      </c>
      <c r="AD9" s="413" t="str">
        <f>IF(OR('Outdoor Lighting'!$D$9="Incandescent",'Outdoor Lighting'!$D$9="Halogen"),VLOOKUP('Outdoor Lighting'!$D$9&amp;", "&amp;'Outdoor Lighting'!$H$9,LightTrans!$A$2:$B$83,2,FALSE), "")</f>
        <v/>
      </c>
      <c r="AE9" s="413" t="str">
        <f>IF('Outdoor Lighting'!$D$9="CFL", VLOOKUP('Outdoor Lighting'!$D$9&amp;", "&amp;'Outdoor Lighting'!$H$9, LightTrans!$A$2:$B$83, 2, FALSE), "")</f>
        <v/>
      </c>
      <c r="AF9" s="41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41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28"/>
      <c r="B10" s="57" t="s">
        <v>267</v>
      </c>
      <c r="C10" s="263"/>
      <c r="D10" s="350"/>
      <c r="E10" s="264"/>
      <c r="F10" s="268"/>
      <c r="G10" s="269"/>
      <c r="H10" s="337"/>
      <c r="I10" s="337"/>
      <c r="J10" s="346"/>
      <c r="K10" s="266"/>
      <c r="L10" s="261"/>
      <c r="M10" s="270"/>
      <c r="S10" s="2" t="s">
        <v>670</v>
      </c>
      <c r="AB10" s="416" t="str">
        <f t="shared" si="0"/>
        <v/>
      </c>
      <c r="AC10" s="3" t="str">
        <f t="shared" si="1"/>
        <v/>
      </c>
      <c r="AD10" s="413" t="str">
        <f>IF(OR('Outdoor Lighting'!$D$10="Incandescent",'Outdoor Lighting'!$D$10="Halogen"),VLOOKUP('Outdoor Lighting'!$D$10&amp;", "&amp;'Outdoor Lighting'!$H$10,LightTrans!$A$2:$B$83,2,FALSE), "")</f>
        <v/>
      </c>
      <c r="AE10" s="413" t="str">
        <f>IF('Outdoor Lighting'!$D$10="CFL", VLOOKUP('Outdoor Lighting'!$D$10&amp;", "&amp;'Outdoor Lighting'!$H$10, LightTrans!$A$2:$B$83, 2, FALSE), "")</f>
        <v/>
      </c>
      <c r="AF10" s="41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41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29"/>
      <c r="B11" s="58" t="s">
        <v>42</v>
      </c>
      <c r="C11" s="220"/>
      <c r="D11" s="351"/>
      <c r="E11" s="271"/>
      <c r="F11" s="272"/>
      <c r="G11" s="273"/>
      <c r="H11" s="347"/>
      <c r="I11" s="347"/>
      <c r="J11" s="348"/>
      <c r="K11" s="274"/>
      <c r="L11" s="261"/>
      <c r="M11" s="275"/>
      <c r="S11" s="2" t="s">
        <v>671</v>
      </c>
      <c r="AB11" s="416" t="str">
        <f t="shared" si="0"/>
        <v/>
      </c>
      <c r="AC11" s="3" t="str">
        <f t="shared" si="1"/>
        <v/>
      </c>
      <c r="AD11" s="413" t="str">
        <f>IF(OR('Outdoor Lighting'!$D$11="Incandescent",'Outdoor Lighting'!$D$11="Halogen"),VLOOKUP('Outdoor Lighting'!$D$11&amp;", "&amp;'Outdoor Lighting'!$H$11,LightTrans!$A$2:$B$83,2,FALSE), "")</f>
        <v/>
      </c>
      <c r="AE11" s="413" t="str">
        <f>IF('Outdoor Lighting'!$D$11="CFL", VLOOKUP('Outdoor Lighting'!$D$11&amp;", "&amp;'Outdoor Lighting'!$H$11, LightTrans!$A$2:$B$83, 2, FALSE), "")</f>
        <v/>
      </c>
      <c r="AF11" s="41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413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672</v>
      </c>
    </row>
    <row r="13" spans="1:33" x14ac:dyDescent="0.3">
      <c r="S13" s="2" t="s">
        <v>673</v>
      </c>
    </row>
    <row r="14" spans="1:33" x14ac:dyDescent="0.3">
      <c r="S14" s="2" t="s">
        <v>674</v>
      </c>
    </row>
    <row r="15" spans="1:33" x14ac:dyDescent="0.3">
      <c r="S15" s="2" t="s">
        <v>675</v>
      </c>
    </row>
    <row r="50" spans="2:4" x14ac:dyDescent="0.3">
      <c r="B50" t="s">
        <v>748</v>
      </c>
      <c r="C50">
        <v>69</v>
      </c>
      <c r="D50">
        <v>78</v>
      </c>
    </row>
    <row r="51" spans="2:4" x14ac:dyDescent="0.3">
      <c r="B51" t="s">
        <v>749</v>
      </c>
      <c r="C51">
        <v>79</v>
      </c>
      <c r="D51">
        <v>87</v>
      </c>
    </row>
    <row r="52" spans="2:4" x14ac:dyDescent="0.3">
      <c r="B52" t="s">
        <v>750</v>
      </c>
      <c r="C52">
        <v>88</v>
      </c>
      <c r="D52">
        <v>97</v>
      </c>
    </row>
    <row r="53" spans="2:4" x14ac:dyDescent="0.3">
      <c r="B53" t="s">
        <v>751</v>
      </c>
      <c r="C53">
        <v>98</v>
      </c>
      <c r="D53">
        <v>106</v>
      </c>
    </row>
    <row r="54" spans="2:4" x14ac:dyDescent="0.3">
      <c r="B54" t="s">
        <v>752</v>
      </c>
      <c r="C54">
        <v>107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541020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A18"/>
  <sheetViews>
    <sheetView view="pageBreakPreview" zoomScale="50" zoomScaleNormal="100" zoomScaleSheetLayoutView="50" zoomScalePageLayoutView="55" workbookViewId="0"/>
  </sheetViews>
  <sheetFormatPr defaultRowHeight="14.4" x14ac:dyDescent="0.3"/>
  <cols>
    <col min="1" max="1" width="12.33203125" customWidth="1"/>
    <col min="2" max="3" width="19.44140625" customWidth="1"/>
    <col min="4" max="4" width="11.44140625" customWidth="1"/>
    <col min="5" max="5" width="32.33203125" customWidth="1"/>
    <col min="6" max="6" width="26.5546875" customWidth="1"/>
    <col min="7" max="7" width="20" customWidth="1"/>
    <col min="8" max="8" width="14.6640625" customWidth="1"/>
    <col min="9" max="9" width="11.88671875" customWidth="1"/>
    <col min="10" max="10" width="17.6640625" customWidth="1"/>
    <col min="11" max="11" width="13.44140625" customWidth="1"/>
    <col min="12" max="12" width="12.6640625" customWidth="1"/>
    <col min="13" max="13" width="28.5546875" hidden="1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18.6640625" customWidth="1"/>
    <col min="19" max="20" width="30.5546875" customWidth="1"/>
    <col min="21" max="22" width="0" hidden="1" customWidth="1"/>
    <col min="23" max="23" width="91.44140625" hidden="1" customWidth="1"/>
    <col min="24" max="25" width="0" hidden="1" customWidth="1"/>
    <col min="26" max="41" width="9.109375" hidden="1" customWidth="1"/>
    <col min="42" max="47" width="0" hidden="1" customWidth="1"/>
    <col min="48" max="48" width="15.5546875" customWidth="1"/>
    <col min="49" max="49" width="26.6640625" customWidth="1"/>
    <col min="50" max="53" width="0" hidden="1" customWidth="1"/>
  </cols>
  <sheetData>
    <row r="1" spans="1:53" s="3" customFormat="1" ht="327.75" customHeight="1" thickBot="1" x14ac:dyDescent="0.35">
      <c r="A1" s="217" t="s">
        <v>268</v>
      </c>
      <c r="B1" s="216" t="s">
        <v>262</v>
      </c>
      <c r="C1" s="216" t="s">
        <v>582</v>
      </c>
      <c r="D1" s="218" t="s">
        <v>319</v>
      </c>
      <c r="E1" s="216" t="s">
        <v>297</v>
      </c>
      <c r="F1" s="216" t="s">
        <v>320</v>
      </c>
      <c r="G1" s="216" t="s">
        <v>270</v>
      </c>
      <c r="H1" s="216" t="s">
        <v>272</v>
      </c>
      <c r="I1" s="218" t="s">
        <v>266</v>
      </c>
      <c r="J1" s="216" t="s">
        <v>263</v>
      </c>
      <c r="K1" s="216" t="s">
        <v>321</v>
      </c>
      <c r="L1" s="283" t="s">
        <v>193</v>
      </c>
      <c r="M1" s="216" t="s">
        <v>621</v>
      </c>
      <c r="N1" s="216" t="s">
        <v>269</v>
      </c>
      <c r="O1" s="216" t="s">
        <v>275</v>
      </c>
      <c r="P1" s="218" t="s">
        <v>283</v>
      </c>
      <c r="Q1" s="218" t="s">
        <v>274</v>
      </c>
      <c r="R1" s="216" t="s">
        <v>583</v>
      </c>
      <c r="S1" s="324" t="s">
        <v>608</v>
      </c>
      <c r="T1" s="404" t="s">
        <v>732</v>
      </c>
      <c r="AV1" s="415" t="s">
        <v>744</v>
      </c>
      <c r="AW1" s="415" t="s">
        <v>745</v>
      </c>
    </row>
    <row r="2" spans="1:53" s="2" customFormat="1" ht="39" customHeight="1" thickBot="1" x14ac:dyDescent="0.5">
      <c r="A2" s="430" t="s">
        <v>3</v>
      </c>
      <c r="B2" s="356"/>
      <c r="C2" s="356"/>
      <c r="D2" s="237"/>
      <c r="E2" s="357"/>
      <c r="F2" s="238"/>
      <c r="G2" s="239"/>
      <c r="H2" s="240"/>
      <c r="I2" s="365"/>
      <c r="J2" s="365"/>
      <c r="K2" s="240"/>
      <c r="L2" s="361"/>
      <c r="M2" s="362"/>
      <c r="N2" s="241"/>
      <c r="O2" s="241"/>
      <c r="P2" s="241"/>
      <c r="Q2" s="241"/>
      <c r="R2" s="361"/>
      <c r="S2" s="403"/>
      <c r="T2" s="405"/>
      <c r="W2" s="411" t="s">
        <v>736</v>
      </c>
      <c r="AV2" s="416" t="str">
        <f>IF(OR(ISNA(AX2), ISNA(AY2), ISNA(AZ2), ISNA(BA2), AND(L2&lt;1, NOT(E2="")), AND(S2="", R2="Yes", NOT(E2=""))), "Not Quite", IF(AND(AX2="",AY2="",AZ2="",BA2=""), "", "Good"))</f>
        <v/>
      </c>
      <c r="AW2" s="2" t="str">
        <f>CONCATENATE(AX2, AY2, AZ2, BA2)</f>
        <v/>
      </c>
      <c r="AX2" s="413" t="str">
        <f>IF(OR('Indoor Lighting'!$E$2="Incandescent",'Indoor Lighting'!$E$2="Halogen"),VLOOKUP('Indoor Lighting'!$E$2&amp;", "&amp;'Indoor Lighting'!$I$2,LightTrans!$A$2:$B$83,2,FALSE), "")</f>
        <v/>
      </c>
      <c r="AY2" s="413" t="str">
        <f>IF('Indoor Lighting'!$E$2="CFL", VLOOKUP('Indoor Lighting'!$E$2&amp;", "&amp;'Indoor Lighting'!$I$2, LightTrans!$A$2:$B$83, 2, FALSE), "")</f>
        <v/>
      </c>
      <c r="AZ2" s="41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BA2" s="413" t="str">
        <f>IF('Indoor Lighting'!$E$2="Metal Halide", VLOOKUP('Indoor Lighting'!$E$2&amp;", "&amp;'Indoor Lighting'!$I$2, LightTrans!$A$2:$K$94, 2, FALSE), "")</f>
        <v/>
      </c>
    </row>
    <row r="3" spans="1:53" s="2" customFormat="1" ht="39" customHeight="1" thickBot="1" x14ac:dyDescent="0.5">
      <c r="A3" s="431"/>
      <c r="B3" s="353"/>
      <c r="C3" s="353"/>
      <c r="D3" s="242"/>
      <c r="E3" s="358"/>
      <c r="F3" s="243"/>
      <c r="G3" s="244"/>
      <c r="H3" s="245"/>
      <c r="I3" s="366"/>
      <c r="J3" s="366"/>
      <c r="K3" s="245"/>
      <c r="L3" s="362"/>
      <c r="M3" s="362"/>
      <c r="N3" s="246"/>
      <c r="O3" s="246"/>
      <c r="P3" s="246"/>
      <c r="Q3" s="246"/>
      <c r="R3" s="361"/>
      <c r="S3" s="403"/>
      <c r="T3" s="405"/>
      <c r="W3" s="411" t="s">
        <v>734</v>
      </c>
      <c r="AA3" s="2" t="s">
        <v>627</v>
      </c>
      <c r="AB3" s="2" t="s">
        <v>676</v>
      </c>
      <c r="AD3" s="2" t="s">
        <v>663</v>
      </c>
      <c r="AF3" s="2" t="s">
        <v>620</v>
      </c>
      <c r="AH3" s="2" t="s">
        <v>682</v>
      </c>
      <c r="AJ3" s="2" t="s">
        <v>661</v>
      </c>
      <c r="AK3" s="2" t="s">
        <v>606</v>
      </c>
      <c r="AM3" s="2" t="s">
        <v>609</v>
      </c>
      <c r="AO3" s="2" t="s">
        <v>687</v>
      </c>
      <c r="AV3" s="416" t="str">
        <f t="shared" ref="AV3:AV16" si="0">IF(OR(ISNA(AX3), ISNA(AY3), ISNA(AZ3), ISNA(BA3), AND(L3&lt;1, NOT(E3="")), AND(S3="", R3="Yes", NOT(E3=""))), "Not Quite", IF(AND(AX3="",AY3="",AZ3="",BA3=""), "", "Good"))</f>
        <v/>
      </c>
      <c r="AW3" s="2" t="str">
        <f t="shared" ref="AW3:AW16" si="1">CONCATENATE(AX3, AY3, AZ3, BA3)</f>
        <v/>
      </c>
      <c r="AX3" s="413" t="str">
        <f>IF(OR('Indoor Lighting'!$E$3="Incandescent",'Indoor Lighting'!$E$3="Halogen"),VLOOKUP('Indoor Lighting'!$E$3&amp;", "&amp;'Indoor Lighting'!$I$3,LightTrans!$A$2:$B$83,2,FALSE), "")</f>
        <v/>
      </c>
      <c r="AY3" s="413" t="str">
        <f>IF('Indoor Lighting'!$E$3="CFL", VLOOKUP('Indoor Lighting'!$E$3&amp;", "&amp;'Indoor Lighting'!$I$3, LightTrans!$A$2:$B$83, 2, FALSE), "")</f>
        <v/>
      </c>
      <c r="AZ3" s="41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BA3" s="413" t="str">
        <f>IF('Indoor Lighting'!$E$3="Metal Halide", VLOOKUP('Indoor Lighting'!$E$3&amp;", "&amp;'Indoor Lighting'!$I$3, LightTrans!$A$2:$K$94, 2, FALSE), "")</f>
        <v/>
      </c>
    </row>
    <row r="4" spans="1:53" s="2" customFormat="1" ht="39" customHeight="1" thickBot="1" x14ac:dyDescent="0.5">
      <c r="A4" s="431"/>
      <c r="B4" s="353"/>
      <c r="C4" s="353"/>
      <c r="D4" s="242"/>
      <c r="E4" s="358"/>
      <c r="F4" s="243"/>
      <c r="G4" s="244"/>
      <c r="H4" s="245"/>
      <c r="I4" s="366"/>
      <c r="J4" s="366"/>
      <c r="K4" s="245"/>
      <c r="L4" s="362"/>
      <c r="M4" s="362"/>
      <c r="N4" s="246"/>
      <c r="O4" s="246"/>
      <c r="P4" s="246"/>
      <c r="Q4" s="246"/>
      <c r="R4" s="361"/>
      <c r="S4" s="403"/>
      <c r="T4" s="405"/>
      <c r="W4" s="411" t="s">
        <v>735</v>
      </c>
      <c r="AA4" s="2" t="s">
        <v>572</v>
      </c>
      <c r="AB4" s="2" t="s">
        <v>677</v>
      </c>
      <c r="AD4" s="2" t="s">
        <v>664</v>
      </c>
      <c r="AF4" s="2" t="s">
        <v>305</v>
      </c>
      <c r="AH4" s="2" t="s">
        <v>683</v>
      </c>
      <c r="AJ4" s="2" t="s">
        <v>662</v>
      </c>
      <c r="AK4" s="2" t="s">
        <v>607</v>
      </c>
      <c r="AM4" s="2" t="s">
        <v>610</v>
      </c>
      <c r="AO4" s="2" t="s">
        <v>688</v>
      </c>
      <c r="AV4" s="416" t="str">
        <f t="shared" si="0"/>
        <v/>
      </c>
      <c r="AW4" s="2" t="str">
        <f t="shared" si="1"/>
        <v/>
      </c>
      <c r="AX4" s="413" t="str">
        <f>IF(OR('Indoor Lighting'!$E$4="Incandescent",'Indoor Lighting'!$E$4="Halogen"),VLOOKUP('Indoor Lighting'!$E$4&amp;", "&amp;'Indoor Lighting'!$I$4,LightTrans!$A$2:$B$83,2,FALSE), "")</f>
        <v/>
      </c>
      <c r="AY4" s="413" t="str">
        <f>IF('Indoor Lighting'!$E$4="CFL", VLOOKUP('Indoor Lighting'!$E$4&amp;", "&amp;'Indoor Lighting'!$I$4, LightTrans!$A$2:$B$83, 2, FALSE), "")</f>
        <v/>
      </c>
      <c r="AZ4" s="41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BA4" s="413" t="str">
        <f>IF('Indoor Lighting'!$E$4="Metal Halide", VLOOKUP('Indoor Lighting'!$E$4&amp;", "&amp;'Indoor Lighting'!$I$4, LightTrans!$A$2:$K$94, 2, FALSE), "")</f>
        <v/>
      </c>
    </row>
    <row r="5" spans="1:53" s="2" customFormat="1" ht="39" customHeight="1" thickBot="1" x14ac:dyDescent="0.5">
      <c r="A5" s="431"/>
      <c r="B5" s="353"/>
      <c r="C5" s="353"/>
      <c r="D5" s="242"/>
      <c r="E5" s="358"/>
      <c r="F5" s="243"/>
      <c r="G5" s="244"/>
      <c r="H5" s="245"/>
      <c r="I5" s="366"/>
      <c r="J5" s="366"/>
      <c r="K5" s="245"/>
      <c r="L5" s="362"/>
      <c r="M5" s="362"/>
      <c r="N5" s="246"/>
      <c r="O5" s="246"/>
      <c r="P5" s="246"/>
      <c r="Q5" s="246"/>
      <c r="R5" s="361"/>
      <c r="S5" s="403"/>
      <c r="T5" s="405"/>
      <c r="AA5" s="2" t="s">
        <v>691</v>
      </c>
      <c r="AB5" s="2" t="s">
        <v>678</v>
      </c>
      <c r="AD5" s="2" t="s">
        <v>665</v>
      </c>
      <c r="AF5" s="2" t="s">
        <v>617</v>
      </c>
      <c r="AH5" s="2" t="s">
        <v>684</v>
      </c>
      <c r="AM5" s="2" t="s">
        <v>611</v>
      </c>
      <c r="AO5" s="2" t="s">
        <v>689</v>
      </c>
      <c r="AV5" s="416" t="str">
        <f t="shared" si="0"/>
        <v/>
      </c>
      <c r="AW5" s="2" t="str">
        <f t="shared" si="1"/>
        <v/>
      </c>
      <c r="AX5" s="413" t="str">
        <f>IF(OR('Indoor Lighting'!$E$5="Incandescent",'Indoor Lighting'!$E$5="Halogen"),VLOOKUP('Indoor Lighting'!$E$5&amp;", "&amp;'Indoor Lighting'!$I$5,LightTrans!$A$2:$B$83,2,FALSE), "")</f>
        <v/>
      </c>
      <c r="AY5" s="413" t="str">
        <f>IF('Indoor Lighting'!$E$5="CFL", VLOOKUP('Indoor Lighting'!$E$5&amp;", "&amp;'Indoor Lighting'!$I$5, LightTrans!$A$2:$B$83, 2, FALSE), "")</f>
        <v/>
      </c>
      <c r="AZ5" s="41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BA5" s="413" t="str">
        <f>IF('Indoor Lighting'!$E$5="Metal Halide", VLOOKUP('Indoor Lighting'!$E$5&amp;", "&amp;'Indoor Lighting'!$I$5, LightTrans!$A$2:$K$94, 2, FALSE), "")</f>
        <v/>
      </c>
    </row>
    <row r="6" spans="1:53" s="2" customFormat="1" ht="39" customHeight="1" thickBot="1" x14ac:dyDescent="0.5">
      <c r="A6" s="431"/>
      <c r="B6" s="353"/>
      <c r="C6" s="353"/>
      <c r="D6" s="242"/>
      <c r="E6" s="358"/>
      <c r="F6" s="243"/>
      <c r="G6" s="244"/>
      <c r="H6" s="245"/>
      <c r="I6" s="366"/>
      <c r="J6" s="366"/>
      <c r="K6" s="245"/>
      <c r="L6" s="362"/>
      <c r="M6" s="362"/>
      <c r="N6" s="246"/>
      <c r="O6" s="246"/>
      <c r="P6" s="246"/>
      <c r="Q6" s="246"/>
      <c r="R6" s="361"/>
      <c r="S6" s="403"/>
      <c r="T6" s="405"/>
      <c r="AA6" s="2" t="s">
        <v>692</v>
      </c>
      <c r="AB6" s="2" t="s">
        <v>679</v>
      </c>
      <c r="AD6" s="2" t="s">
        <v>666</v>
      </c>
      <c r="AF6" s="2" t="s">
        <v>618</v>
      </c>
      <c r="AH6" s="2" t="s">
        <v>685</v>
      </c>
      <c r="AM6" s="2" t="s">
        <v>612</v>
      </c>
      <c r="AO6" s="2" t="s">
        <v>690</v>
      </c>
      <c r="AV6" s="416" t="str">
        <f t="shared" si="0"/>
        <v/>
      </c>
      <c r="AW6" s="2" t="str">
        <f t="shared" si="1"/>
        <v/>
      </c>
      <c r="AX6" s="413" t="str">
        <f>IF(OR('Indoor Lighting'!$E$6="Incandescent",'Indoor Lighting'!$E$6="Halogen"),VLOOKUP('Indoor Lighting'!$E$6&amp;", "&amp;'Indoor Lighting'!$I$6,LightTrans!$A$2:$B$83,2,FALSE), "")</f>
        <v/>
      </c>
      <c r="AY6" s="413" t="str">
        <f>IF('Indoor Lighting'!$E$6="CFL", VLOOKUP('Indoor Lighting'!$E$6&amp;", "&amp;'Indoor Lighting'!$I$6, LightTrans!$A$2:$B$83, 2, FALSE), "")</f>
        <v/>
      </c>
      <c r="AZ6" s="41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BA6" s="413" t="str">
        <f>IF('Indoor Lighting'!$E$6="Metal Halide", VLOOKUP('Indoor Lighting'!$E$6&amp;", "&amp;'Indoor Lighting'!$I$6, LightTrans!$A$2:$K$94, 2, FALSE), "")</f>
        <v/>
      </c>
    </row>
    <row r="7" spans="1:53" s="2" customFormat="1" ht="39" customHeight="1" thickBot="1" x14ac:dyDescent="0.5">
      <c r="A7" s="431"/>
      <c r="B7" s="353"/>
      <c r="C7" s="353"/>
      <c r="D7" s="242"/>
      <c r="E7" s="358"/>
      <c r="F7" s="243"/>
      <c r="G7" s="244"/>
      <c r="H7" s="245"/>
      <c r="I7" s="366"/>
      <c r="J7" s="366"/>
      <c r="K7" s="245"/>
      <c r="L7" s="362"/>
      <c r="M7" s="362"/>
      <c r="N7" s="246"/>
      <c r="O7" s="246"/>
      <c r="P7" s="246"/>
      <c r="Q7" s="246"/>
      <c r="R7" s="361"/>
      <c r="S7" s="403"/>
      <c r="T7" s="405"/>
      <c r="AA7" s="2" t="s">
        <v>693</v>
      </c>
      <c r="AB7" s="2" t="s">
        <v>680</v>
      </c>
      <c r="AD7" s="2" t="s">
        <v>667</v>
      </c>
      <c r="AF7" s="2" t="s">
        <v>619</v>
      </c>
      <c r="AH7" s="2" t="s">
        <v>686</v>
      </c>
      <c r="AM7" s="2" t="s">
        <v>613</v>
      </c>
      <c r="AV7" s="416" t="str">
        <f t="shared" si="0"/>
        <v/>
      </c>
      <c r="AW7" s="2" t="str">
        <f t="shared" si="1"/>
        <v/>
      </c>
      <c r="AX7" s="413" t="str">
        <f>IF(OR('Indoor Lighting'!$E$7="Incandescent",'Indoor Lighting'!$E$7="Halogen"),VLOOKUP('Indoor Lighting'!$E$7&amp;", "&amp;'Indoor Lighting'!$I$7,LightTrans!$A$2:$B$83,2,FALSE), "")</f>
        <v/>
      </c>
      <c r="AY7" s="413" t="str">
        <f>IF('Indoor Lighting'!$E$7="CFL", VLOOKUP('Indoor Lighting'!$E$7&amp;", "&amp;'Indoor Lighting'!$I$7, LightTrans!$A$2:$B$83, 2, FALSE), "")</f>
        <v/>
      </c>
      <c r="AZ7" s="41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BA7" s="413" t="str">
        <f>IF('Indoor Lighting'!$E$7="Metal Halide", VLOOKUP('Indoor Lighting'!$E$7&amp;", "&amp;'Indoor Lighting'!$I$7, LightTrans!$A$2:$K$94, 2, FALSE), "")</f>
        <v/>
      </c>
    </row>
    <row r="8" spans="1:53" s="2" customFormat="1" ht="39" customHeight="1" thickBot="1" x14ac:dyDescent="0.5">
      <c r="A8" s="431"/>
      <c r="B8" s="353"/>
      <c r="C8" s="353"/>
      <c r="D8" s="242"/>
      <c r="E8" s="358"/>
      <c r="F8" s="243"/>
      <c r="G8" s="244"/>
      <c r="H8" s="245"/>
      <c r="I8" s="366"/>
      <c r="J8" s="366"/>
      <c r="K8" s="245"/>
      <c r="L8" s="362"/>
      <c r="M8" s="362" t="str">
        <f>IF(E8="", "", IF('Facility Info'!H8="Y", IF(C8="Y", "Natural Gas", "None"), IF(C8="Y", "Heat Pump", "None")))</f>
        <v/>
      </c>
      <c r="N8" s="246"/>
      <c r="O8" s="246"/>
      <c r="P8" s="246"/>
      <c r="Q8" s="246"/>
      <c r="R8" s="361"/>
      <c r="S8" s="403"/>
      <c r="T8" s="405"/>
      <c r="AA8" s="2" t="s">
        <v>694</v>
      </c>
      <c r="AB8" s="2" t="s">
        <v>701</v>
      </c>
      <c r="AD8" s="2" t="s">
        <v>668</v>
      </c>
      <c r="AH8" s="2" t="s">
        <v>730</v>
      </c>
      <c r="AM8" s="2" t="s">
        <v>614</v>
      </c>
      <c r="AV8" s="416" t="str">
        <f t="shared" si="0"/>
        <v/>
      </c>
      <c r="AW8" s="2" t="str">
        <f t="shared" si="1"/>
        <v/>
      </c>
      <c r="AX8" s="413" t="str">
        <f>IF(OR('Indoor Lighting'!$E$8="Incandescent",'Indoor Lighting'!$E$8="Halogen"),VLOOKUP('Indoor Lighting'!$E$8&amp;", "&amp;'Indoor Lighting'!$I$8,LightTrans!$A$2:$B$83,2,FALSE), "")</f>
        <v/>
      </c>
      <c r="AY8" s="413" t="str">
        <f>IF('Indoor Lighting'!$E$8="CFL", VLOOKUP('Indoor Lighting'!$E$8&amp;", "&amp;'Indoor Lighting'!$I$8, LightTrans!$A$2:$B$83, 2, FALSE), "")</f>
        <v/>
      </c>
      <c r="AZ8" s="41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BA8" s="413" t="str">
        <f>IF('Indoor Lighting'!$E$8="Metal Halide", VLOOKUP('Indoor Lighting'!$E$8&amp;", "&amp;'Indoor Lighting'!$I$8, LightTrans!$A$2:$K$94, 2, FALSE), "")</f>
        <v/>
      </c>
    </row>
    <row r="9" spans="1:53" s="2" customFormat="1" ht="39" customHeight="1" thickBot="1" x14ac:dyDescent="0.5">
      <c r="A9" s="431"/>
      <c r="B9" s="353"/>
      <c r="C9" s="353"/>
      <c r="D9" s="242"/>
      <c r="E9" s="358"/>
      <c r="F9" s="243"/>
      <c r="G9" s="244"/>
      <c r="H9" s="245"/>
      <c r="I9" s="366"/>
      <c r="J9" s="366"/>
      <c r="K9" s="245"/>
      <c r="L9" s="362"/>
      <c r="M9" s="362" t="str">
        <f>IF(E9="", "", IF('Facility Info'!H8="Y", IF(C9="Y", "Natural Gas", "None"), IF(C9="Y", "Heat Pump", "None")))</f>
        <v/>
      </c>
      <c r="N9" s="246"/>
      <c r="O9" s="246"/>
      <c r="P9" s="246"/>
      <c r="Q9" s="246"/>
      <c r="R9" s="361"/>
      <c r="S9" s="403"/>
      <c r="T9" s="405"/>
      <c r="AA9" s="2" t="s">
        <v>695</v>
      </c>
      <c r="AB9" s="2" t="s">
        <v>681</v>
      </c>
      <c r="AD9" s="2" t="s">
        <v>669</v>
      </c>
      <c r="AM9" s="2" t="s">
        <v>615</v>
      </c>
      <c r="AV9" s="416" t="str">
        <f t="shared" si="0"/>
        <v/>
      </c>
      <c r="AW9" s="2" t="str">
        <f t="shared" si="1"/>
        <v/>
      </c>
      <c r="AX9" s="413" t="str">
        <f>IF(OR('Indoor Lighting'!$E$9="Incandescent",'Indoor Lighting'!$E$9="Halogen"),VLOOKUP('Indoor Lighting'!$E$9&amp;", "&amp;'Indoor Lighting'!$I$9,LightTrans!$A$2:$B$83,2,FALSE), "")</f>
        <v/>
      </c>
      <c r="AY9" s="413" t="str">
        <f>IF('Indoor Lighting'!$E$9="CFL", VLOOKUP('Indoor Lighting'!$E$9&amp;", "&amp;'Indoor Lighting'!$I$9, LightTrans!$A$2:$B$83, 2, FALSE), "")</f>
        <v/>
      </c>
      <c r="AZ9" s="41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BA9" s="413" t="str">
        <f>IF('Indoor Lighting'!$E$9="Metal Halide", VLOOKUP('Indoor Lighting'!$E$9&amp;", "&amp;'Indoor Lighting'!$I$9, LightTrans!$A$2:$K$94, 2, FALSE), "")</f>
        <v/>
      </c>
    </row>
    <row r="10" spans="1:53" s="2" customFormat="1" ht="39" customHeight="1" thickBot="1" x14ac:dyDescent="0.5">
      <c r="A10" s="431"/>
      <c r="B10" s="353"/>
      <c r="C10" s="353"/>
      <c r="D10" s="242"/>
      <c r="E10" s="358"/>
      <c r="F10" s="243"/>
      <c r="G10" s="244"/>
      <c r="H10" s="245"/>
      <c r="I10" s="366"/>
      <c r="J10" s="366"/>
      <c r="K10" s="245"/>
      <c r="L10" s="362"/>
      <c r="M10" s="362" t="str">
        <f>IF(E10="", "", IF('Facility Info'!H8="Y", IF(C10="Y", "Natural Gas", "None"), IF(C10="Y", "Heat Pump", "None")))</f>
        <v/>
      </c>
      <c r="N10" s="246"/>
      <c r="O10" s="246"/>
      <c r="P10" s="246"/>
      <c r="Q10" s="246"/>
      <c r="R10" s="361"/>
      <c r="S10" s="403"/>
      <c r="T10" s="405"/>
      <c r="AD10" s="2" t="s">
        <v>670</v>
      </c>
      <c r="AM10" s="2" t="s">
        <v>616</v>
      </c>
      <c r="AV10" s="416" t="str">
        <f t="shared" si="0"/>
        <v/>
      </c>
      <c r="AW10" s="2" t="str">
        <f t="shared" si="1"/>
        <v/>
      </c>
      <c r="AX10" s="413" t="str">
        <f>IF(OR('Indoor Lighting'!$E$10="Incandescent",'Indoor Lighting'!$E$10="Halogen"),VLOOKUP('Indoor Lighting'!$E$10&amp;", "&amp;'Indoor Lighting'!$I$10,LightTrans!$A$2:$B$83,2,FALSE), "")</f>
        <v/>
      </c>
      <c r="AY10" s="413" t="str">
        <f>IF('Indoor Lighting'!$E$10="CFL", VLOOKUP('Indoor Lighting'!$E$10&amp;", "&amp;'Indoor Lighting'!$I$10, LightTrans!$A$2:$B$83, 2, FALSE), "")</f>
        <v/>
      </c>
      <c r="AZ10" s="41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BA10" s="413" t="str">
        <f>IF('Indoor Lighting'!$E$10="Metal Halide", VLOOKUP('Indoor Lighting'!$E$10&amp;", "&amp;'Indoor Lighting'!$I$10, LightTrans!$A$2:$K$94, 2, FALSE), "")</f>
        <v/>
      </c>
    </row>
    <row r="11" spans="1:53" s="2" customFormat="1" ht="39" customHeight="1" thickBot="1" x14ac:dyDescent="0.5">
      <c r="A11" s="431"/>
      <c r="B11" s="353"/>
      <c r="C11" s="353"/>
      <c r="D11" s="242"/>
      <c r="E11" s="358"/>
      <c r="F11" s="243"/>
      <c r="G11" s="244"/>
      <c r="H11" s="245"/>
      <c r="I11" s="366"/>
      <c r="J11" s="366"/>
      <c r="K11" s="245"/>
      <c r="L11" s="362"/>
      <c r="M11" s="362" t="str">
        <f>IF(E11="", "", IF('Facility Info'!H8="Y", IF(C11="Y", "Natural Gas", "None"), IF(C11="Y", "Heat Pump", "None")))</f>
        <v/>
      </c>
      <c r="N11" s="246"/>
      <c r="O11" s="246"/>
      <c r="P11" s="246"/>
      <c r="Q11" s="246"/>
      <c r="R11" s="361"/>
      <c r="S11" s="403"/>
      <c r="T11" s="405"/>
      <c r="AD11" s="2" t="s">
        <v>671</v>
      </c>
      <c r="AV11" s="416" t="str">
        <f t="shared" si="0"/>
        <v/>
      </c>
      <c r="AW11" s="2" t="str">
        <f t="shared" si="1"/>
        <v/>
      </c>
      <c r="AX11" s="413" t="str">
        <f>IF(OR('Indoor Lighting'!$E$11="Incandescent",'Indoor Lighting'!$E$11="Halogen"),VLOOKUP('Indoor Lighting'!$E$11&amp;", "&amp;'Indoor Lighting'!$I$11,LightTrans!$A$2:$B$83,2,FALSE), "")</f>
        <v/>
      </c>
      <c r="AY11" s="413" t="str">
        <f>IF('Indoor Lighting'!$E$11="CFL", VLOOKUP('Indoor Lighting'!$E$11&amp;", "&amp;'Indoor Lighting'!$I$11, LightTrans!$A$2:$B$83, 2, FALSE), "")</f>
        <v/>
      </c>
      <c r="AZ11" s="41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BA11" s="413" t="str">
        <f>IF('Indoor Lighting'!$E$11="Metal Halide", VLOOKUP('Indoor Lighting'!$E$11&amp;", "&amp;'Indoor Lighting'!$I$11, LightTrans!$A$2:$K$94, 2, FALSE), "")</f>
        <v/>
      </c>
    </row>
    <row r="12" spans="1:53" s="2" customFormat="1" ht="39" customHeight="1" thickBot="1" x14ac:dyDescent="0.5">
      <c r="A12" s="431"/>
      <c r="B12" s="353"/>
      <c r="C12" s="353"/>
      <c r="D12" s="242"/>
      <c r="E12" s="358"/>
      <c r="F12" s="243"/>
      <c r="G12" s="244"/>
      <c r="H12" s="245"/>
      <c r="I12" s="366"/>
      <c r="J12" s="366"/>
      <c r="K12" s="245"/>
      <c r="L12" s="362"/>
      <c r="M12" s="362" t="str">
        <f>IF(E12="", "", IF('Facility Info'!H8="Y", IF(C12="Y", "Natural Gas", "None"), IF(C12="Y", "Heat Pump", "None")))</f>
        <v/>
      </c>
      <c r="N12" s="246"/>
      <c r="O12" s="246"/>
      <c r="P12" s="246"/>
      <c r="Q12" s="246"/>
      <c r="R12" s="361"/>
      <c r="S12" s="403"/>
      <c r="T12" s="405"/>
      <c r="AD12" s="2" t="s">
        <v>672</v>
      </c>
      <c r="AV12" s="416" t="str">
        <f t="shared" si="0"/>
        <v/>
      </c>
      <c r="AW12" s="2" t="str">
        <f t="shared" si="1"/>
        <v/>
      </c>
      <c r="AX12" s="413" t="str">
        <f>IF(OR('Indoor Lighting'!$E$12="Incandescent",'Indoor Lighting'!$E$12="Halogen"),VLOOKUP('Indoor Lighting'!$E$12&amp;", "&amp;'Indoor Lighting'!$I$12,LightTrans!$A$2:$B$83,2,FALSE), "")</f>
        <v/>
      </c>
      <c r="AY12" s="413" t="str">
        <f>IF('Indoor Lighting'!$E$12="CFL", VLOOKUP('Indoor Lighting'!$E$12&amp;", "&amp;'Indoor Lighting'!$I$12, LightTrans!$A$2:$B$83, 2, FALSE), "")</f>
        <v/>
      </c>
      <c r="AZ12" s="41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BA12" s="413" t="str">
        <f>IF('Indoor Lighting'!$E$12="Metal Halide", VLOOKUP('Indoor Lighting'!$E$12&amp;", "&amp;'Indoor Lighting'!$I$12, LightTrans!$A$2:$K$94, 2, FALSE), "")</f>
        <v/>
      </c>
    </row>
    <row r="13" spans="1:53" s="2" customFormat="1" ht="39" customHeight="1" thickBot="1" x14ac:dyDescent="0.5">
      <c r="A13" s="431"/>
      <c r="B13" s="353"/>
      <c r="C13" s="353"/>
      <c r="D13" s="242"/>
      <c r="E13" s="358"/>
      <c r="F13" s="243"/>
      <c r="G13" s="244"/>
      <c r="H13" s="245"/>
      <c r="I13" s="366"/>
      <c r="J13" s="366"/>
      <c r="K13" s="245"/>
      <c r="L13" s="362"/>
      <c r="M13" s="362" t="str">
        <f>IF(E13="", "", IF('Facility Info'!H8="Y", IF(C13="Y", "Natural Gas", "None"), IF(C13="Y", "Heat Pump", "None")))</f>
        <v/>
      </c>
      <c r="N13" s="246"/>
      <c r="O13" s="246"/>
      <c r="P13" s="246"/>
      <c r="Q13" s="246"/>
      <c r="R13" s="361"/>
      <c r="S13" s="403"/>
      <c r="T13" s="405"/>
      <c r="AD13" s="2" t="s">
        <v>673</v>
      </c>
      <c r="AV13" s="416" t="str">
        <f t="shared" si="0"/>
        <v/>
      </c>
      <c r="AW13" s="2" t="str">
        <f t="shared" si="1"/>
        <v/>
      </c>
      <c r="AX13" s="413" t="str">
        <f>IF(OR('Indoor Lighting'!$E$13="Incandescent",'Indoor Lighting'!$E$13="Halogen"),VLOOKUP('Indoor Lighting'!$E$13&amp;", "&amp;'Indoor Lighting'!$I$13,LightTrans!$A$2:$B$83,2,FALSE), "")</f>
        <v/>
      </c>
      <c r="AY13" s="413" t="str">
        <f>IF('Indoor Lighting'!$E$13="CFL", VLOOKUP('Indoor Lighting'!$E$13&amp;", "&amp;'Indoor Lighting'!$I$13, LightTrans!$A$2:$B$83, 2, FALSE), "")</f>
        <v/>
      </c>
      <c r="AZ13" s="413" t="str">
        <f>IF(OR('Indoor Lighting'!$E$13="T5", ISNUMBER(FIND("T8", 'Indoor Lighting'!$E$13)), ISNUMBER(FIND("T12", 'Indoor Lighting'!$E$13))), VLOOKUP('Indoor Lighting'!$E$13&amp;", "&amp;'Indoor Lighting'!$J$13, LightTrans!$A$2:$B$83, 2, FALSE), "")</f>
        <v/>
      </c>
      <c r="BA13" s="413" t="str">
        <f>IF('Indoor Lighting'!$E$13="Metal Halide", VLOOKUP('Indoor Lighting'!$E$13&amp;", "&amp;'Indoor Lighting'!$I$13, LightTrans!$A$2:$K$94, 2, FALSE), "")</f>
        <v/>
      </c>
    </row>
    <row r="14" spans="1:53" s="2" customFormat="1" ht="39" customHeight="1" thickBot="1" x14ac:dyDescent="0.5">
      <c r="A14" s="432" t="s">
        <v>6</v>
      </c>
      <c r="B14" s="219" t="s">
        <v>742</v>
      </c>
      <c r="C14" s="354"/>
      <c r="D14" s="237"/>
      <c r="E14" s="357"/>
      <c r="F14" s="247"/>
      <c r="G14" s="248"/>
      <c r="H14" s="249"/>
      <c r="I14" s="365"/>
      <c r="J14" s="366"/>
      <c r="K14" s="249"/>
      <c r="L14" s="361"/>
      <c r="M14" s="362" t="str">
        <f>IF(E14="", "", IF('Facility Info'!H8="Y", IF(C14="Y", "Natural Gas", "None"), IF(C14="Y", "Heat Pump", "None")))</f>
        <v/>
      </c>
      <c r="N14" s="241"/>
      <c r="O14" s="241"/>
      <c r="P14" s="241"/>
      <c r="Q14" s="241"/>
      <c r="R14" s="361"/>
      <c r="S14" s="403"/>
      <c r="T14" s="405"/>
      <c r="AD14" s="2" t="s">
        <v>674</v>
      </c>
      <c r="AV14" s="416" t="str">
        <f t="shared" si="0"/>
        <v/>
      </c>
      <c r="AW14" s="2" t="str">
        <f t="shared" si="1"/>
        <v/>
      </c>
      <c r="AX14" s="413" t="str">
        <f>IF(OR('Indoor Lighting'!$E$14="Incandescent",'Indoor Lighting'!$E$14="Halogen"),VLOOKUP('Indoor Lighting'!$E$14&amp;", "&amp;'Indoor Lighting'!$I$14,LightTrans!$A$2:$B$83,2,FALSE), "")</f>
        <v/>
      </c>
      <c r="AY14" s="414" t="str">
        <f>IF('Indoor Lighting'!$E$14="CFL", VLOOKUP('Indoor Lighting'!$E$14&amp;", "&amp;'Indoor Lighting'!$I$14, LightTrans!$A$2:$B$83, 2, FALSE), "")</f>
        <v/>
      </c>
      <c r="AZ14" s="413" t="str">
        <f>IF(OR('Indoor Lighting'!$E$14="T5", ISNUMBER(FIND("T8", 'Indoor Lighting'!$E$14)), ISNUMBER(FIND("T12", 'Indoor Lighting'!$E$14))), VLOOKUP('Indoor Lighting'!$E$14&amp;", "&amp;'Indoor Lighting'!$J$14, LightTrans!$A$2:$B$83, 2, FALSE), "")</f>
        <v/>
      </c>
      <c r="BA14" s="413" t="str">
        <f>IF('Indoor Lighting'!$E$14="Metal Halide", VLOOKUP('Indoor Lighting'!$E$14&amp;", "&amp;'Indoor Lighting'!$I$14, LightTrans!$A$2:$K$94, 2, FALSE), "")</f>
        <v/>
      </c>
    </row>
    <row r="15" spans="1:53" s="2" customFormat="1" ht="39" customHeight="1" thickBot="1" x14ac:dyDescent="0.5">
      <c r="A15" s="433"/>
      <c r="B15" s="220" t="s">
        <v>743</v>
      </c>
      <c r="C15" s="355"/>
      <c r="D15" s="250"/>
      <c r="E15" s="359"/>
      <c r="F15" s="251"/>
      <c r="G15" s="252"/>
      <c r="H15" s="253"/>
      <c r="I15" s="367"/>
      <c r="J15" s="367"/>
      <c r="K15" s="253"/>
      <c r="L15" s="363"/>
      <c r="M15" s="362" t="str">
        <f>IF(E15="", "", IF('Facility Info'!H8="Y", IF(C15="Y", "Natural Gas", "None"), IF(C15="Y", "Heat Pump", "None")))</f>
        <v/>
      </c>
      <c r="N15" s="254"/>
      <c r="O15" s="254"/>
      <c r="P15" s="254"/>
      <c r="Q15" s="254"/>
      <c r="R15" s="361"/>
      <c r="S15" s="403"/>
      <c r="T15" s="405"/>
      <c r="AD15" s="2" t="s">
        <v>675</v>
      </c>
      <c r="AV15" s="416" t="str">
        <f t="shared" si="0"/>
        <v/>
      </c>
      <c r="AW15" s="2" t="str">
        <f t="shared" si="1"/>
        <v/>
      </c>
      <c r="AX15" s="413" t="str">
        <f>IF(OR('Indoor Lighting'!$E$15="Incandescent",'Indoor Lighting'!$E$15="Halogen"),VLOOKUP('Indoor Lighting'!$E$15&amp;", "&amp;'Indoor Lighting'!$I$15,LightTrans!$A$2:$B$83,2,FALSE), "")</f>
        <v/>
      </c>
      <c r="AY15" s="414" t="str">
        <f>IF('Indoor Lighting'!$E$15="CFL", VLOOKUP('Indoor Lighting'!$E$15&amp;", "&amp;'Indoor Lighting'!$I$15, LightTrans!$A$2:$B$83, 2, FALSE), "")</f>
        <v/>
      </c>
      <c r="AZ15" s="413" t="str">
        <f>IF(OR('Indoor Lighting'!$E$15="T5", ISNUMBER(FIND("T8", 'Indoor Lighting'!$E$15)), ISNUMBER(FIND("T12", 'Indoor Lighting'!$E$15))), VLOOKUP('Indoor Lighting'!$E$15&amp;", "&amp;'Indoor Lighting'!$J$15, LightTrans!$A$2:$B$83, 2, FALSE), "")</f>
        <v/>
      </c>
      <c r="BA15" s="413" t="str">
        <f>IF('Indoor Lighting'!$E$15="Metal Halide", VLOOKUP('Indoor Lighting'!$E$15&amp;", "&amp;'Indoor Lighting'!$I$15, LightTrans!$A$2:$K$94, 2, FALSE), "")</f>
        <v/>
      </c>
    </row>
    <row r="16" spans="1:53" s="2" customFormat="1" ht="51" customHeight="1" thickBot="1" x14ac:dyDescent="0.5">
      <c r="A16" s="221" t="s">
        <v>5</v>
      </c>
      <c r="B16" s="352"/>
      <c r="C16" s="352"/>
      <c r="D16" s="255"/>
      <c r="E16" s="360" t="s">
        <v>660</v>
      </c>
      <c r="F16" s="255"/>
      <c r="G16" s="255"/>
      <c r="H16" s="255"/>
      <c r="I16" s="360"/>
      <c r="J16" s="360"/>
      <c r="K16" s="255"/>
      <c r="L16" s="364"/>
      <c r="M16" s="362" t="str">
        <f>IF(E16="", "", IF('Facility Info'!H8="Y", IF(C16="Y", "Natural Gas", "None"), IF(C16="Y", "Heat Pump", "None")))</f>
        <v/>
      </c>
      <c r="N16" s="256"/>
      <c r="O16" s="256"/>
      <c r="P16" s="256"/>
      <c r="Q16" s="256"/>
      <c r="R16" s="361"/>
      <c r="S16" s="403"/>
      <c r="T16" s="405"/>
      <c r="AV16" s="416" t="str">
        <f t="shared" si="0"/>
        <v/>
      </c>
      <c r="AW16" s="2" t="str">
        <f t="shared" si="1"/>
        <v/>
      </c>
      <c r="AX16" s="413" t="str">
        <f>IF(OR('Indoor Lighting'!$E$16="CFL", 'Indoor Lighting'!$E$16="Incandescent", 'Indoor Lighting'!$E$16="LED"), VLOOKUP("Exit "&amp;'Indoor Lighting'!$E$16, LightTrans!$A$1:$Q$82, 2, FALSE), "")</f>
        <v/>
      </c>
    </row>
    <row r="17" spans="1:20" s="2" customFormat="1" ht="25.5" customHeight="1" x14ac:dyDescent="0.4">
      <c r="A17" s="169" t="s">
        <v>264</v>
      </c>
      <c r="B17" s="64"/>
      <c r="C17" s="64"/>
      <c r="D17" s="64"/>
      <c r="E17" s="64"/>
      <c r="F17" s="64"/>
      <c r="G17" s="64"/>
      <c r="H17" s="65"/>
      <c r="I17" s="65"/>
      <c r="J17" s="257"/>
      <c r="K17" s="282"/>
      <c r="L17" s="65"/>
      <c r="M17" s="65"/>
      <c r="N17" s="65"/>
      <c r="O17" s="65"/>
      <c r="P17" s="65"/>
      <c r="Q17" s="65"/>
      <c r="R17" s="65"/>
      <c r="S17" s="66"/>
      <c r="T17" s="402"/>
    </row>
    <row r="18" spans="1:20" s="2" customFormat="1" ht="25.5" customHeight="1" thickBot="1" x14ac:dyDescent="0.35">
      <c r="A18" s="59"/>
      <c r="B18" s="60"/>
      <c r="C18" s="60"/>
      <c r="D18" s="60"/>
      <c r="E18" s="60"/>
      <c r="F18" s="60"/>
      <c r="G18" s="60"/>
      <c r="H18" s="61"/>
      <c r="I18" s="61"/>
      <c r="J18" s="67"/>
      <c r="K18" s="61"/>
      <c r="L18" s="61"/>
      <c r="M18" s="61"/>
      <c r="N18" s="61"/>
      <c r="O18" s="61"/>
      <c r="P18" s="61"/>
      <c r="Q18" s="61"/>
      <c r="R18" s="61"/>
      <c r="S18" s="68"/>
      <c r="T18" s="402"/>
    </row>
  </sheetData>
  <mergeCells count="2">
    <mergeCell ref="A2:A13"/>
    <mergeCell ref="A14:A15"/>
  </mergeCells>
  <conditionalFormatting sqref="AV2:AV1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16">
      <formula1>$AK$2:$AK$4</formula1>
    </dataValidation>
    <dataValidation type="list" allowBlank="1" showInputMessage="1" showErrorMessage="1" sqref="S2:S16">
      <formula1>$AM$2:$AM$10</formula1>
    </dataValidation>
    <dataValidation type="list" allowBlank="1" showInputMessage="1" showErrorMessage="1" sqref="M2:M16">
      <formula1>$AF$2:$AF$7</formula1>
    </dataValidation>
    <dataValidation type="list" allowBlank="1" showInputMessage="1" showErrorMessage="1" sqref="E2:E16">
      <formula1>$AD$2:$AD$15</formula1>
    </dataValidation>
    <dataValidation type="list" allowBlank="1" showInputMessage="1" showErrorMessage="1" sqref="F2:F16">
      <formula1>$AB$2:$AB$9</formula1>
    </dataValidation>
    <dataValidation type="list" allowBlank="1" showInputMessage="1" showErrorMessage="1" sqref="G2:G16">
      <formula1>$AH$2:$AH$7</formula1>
    </dataValidation>
    <dataValidation type="list" allowBlank="1" showInputMessage="1" showErrorMessage="1" sqref="H2:H16">
      <formula1>$AO$2:$AO$6</formula1>
    </dataValidation>
    <dataValidation type="list" allowBlank="1" showInputMessage="1" showErrorMessage="1" sqref="N2:N16">
      <formula1>$AA$2:$AA$9</formula1>
    </dataValidation>
    <dataValidation type="list" allowBlank="1" showInputMessage="1" showErrorMessage="1" sqref="P2:Q16 C2:C16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350520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8671875" defaultRowHeight="15.6" x14ac:dyDescent="0.3"/>
  <cols>
    <col min="1" max="1" width="21.6640625" style="75" customWidth="1"/>
    <col min="2" max="2" width="64.44140625" style="75" customWidth="1"/>
    <col min="3" max="3" width="9.109375" style="75" customWidth="1"/>
    <col min="4" max="4" width="28.6640625" style="75" customWidth="1"/>
    <col min="5" max="5" width="18.33203125" style="75" customWidth="1"/>
    <col min="6" max="6" width="10.33203125" style="75" customWidth="1"/>
    <col min="7" max="7" width="15.6640625" style="75" customWidth="1"/>
    <col min="8" max="8" width="18.5546875" style="75" customWidth="1"/>
    <col min="9" max="9" width="16.33203125" style="75" customWidth="1"/>
    <col min="10" max="10" width="31.33203125" style="75" customWidth="1"/>
    <col min="11" max="11" width="26.6640625" style="75" customWidth="1"/>
    <col min="12" max="12" width="31.44140625" style="75" customWidth="1"/>
    <col min="13" max="13" width="11.33203125" style="75" customWidth="1"/>
    <col min="14" max="14" width="32.88671875" style="75" customWidth="1"/>
    <col min="15" max="16384" width="8.88671875" style="75"/>
  </cols>
  <sheetData>
    <row r="1" spans="1:14" ht="39.6" x14ac:dyDescent="0.3">
      <c r="A1" s="297" t="s">
        <v>326</v>
      </c>
      <c r="B1" s="298" t="s">
        <v>327</v>
      </c>
      <c r="C1" s="308" t="s">
        <v>459</v>
      </c>
      <c r="D1" s="307" t="s">
        <v>458</v>
      </c>
      <c r="E1" s="309" t="s">
        <v>460</v>
      </c>
      <c r="F1" s="309" t="s">
        <v>458</v>
      </c>
      <c r="G1" s="308" t="s">
        <v>461</v>
      </c>
      <c r="H1" s="308" t="s">
        <v>256</v>
      </c>
      <c r="I1" s="308" t="s">
        <v>462</v>
      </c>
      <c r="J1" s="308" t="s">
        <v>463</v>
      </c>
      <c r="K1" s="75" t="s">
        <v>584</v>
      </c>
    </row>
    <row r="2" spans="1:14" ht="20.399999999999999" x14ac:dyDescent="0.3">
      <c r="A2" s="297" t="s">
        <v>425</v>
      </c>
      <c r="B2" s="298" t="s">
        <v>328</v>
      </c>
      <c r="C2" s="299" t="e">
        <v>#N/A</v>
      </c>
      <c r="D2" s="298"/>
      <c r="E2" s="299"/>
      <c r="F2" s="299"/>
      <c r="G2" s="298"/>
      <c r="H2" s="300"/>
      <c r="I2" s="300"/>
      <c r="K2" s="322" t="s">
        <v>585</v>
      </c>
      <c r="N2" s="302"/>
    </row>
    <row r="3" spans="1:14" ht="20.399999999999999" x14ac:dyDescent="0.3">
      <c r="A3" s="297" t="s">
        <v>426</v>
      </c>
      <c r="B3" s="298" t="s">
        <v>331</v>
      </c>
      <c r="C3" s="299" t="e">
        <v>#N/A</v>
      </c>
      <c r="D3" s="298"/>
      <c r="E3" s="299"/>
      <c r="F3" s="299"/>
      <c r="G3" s="298"/>
      <c r="H3" s="300"/>
      <c r="I3" s="300"/>
      <c r="K3" s="322" t="s">
        <v>586</v>
      </c>
      <c r="N3" s="302"/>
    </row>
    <row r="4" spans="1:14" ht="20.399999999999999" x14ac:dyDescent="0.3">
      <c r="A4" s="297" t="s">
        <v>427</v>
      </c>
      <c r="B4" s="298" t="s">
        <v>334</v>
      </c>
      <c r="C4" s="299" t="e">
        <v>#N/A</v>
      </c>
      <c r="D4" s="298"/>
      <c r="E4" s="299"/>
      <c r="F4" s="299"/>
      <c r="G4" s="298"/>
      <c r="H4" s="300"/>
      <c r="I4" s="300"/>
      <c r="K4" s="322" t="s">
        <v>586</v>
      </c>
      <c r="N4" s="302"/>
    </row>
    <row r="5" spans="1:14" ht="20.399999999999999" x14ac:dyDescent="0.3">
      <c r="A5" s="297" t="s">
        <v>428</v>
      </c>
      <c r="B5" s="298" t="s">
        <v>337</v>
      </c>
      <c r="C5" s="299" t="e">
        <v>#N/A</v>
      </c>
      <c r="D5" s="298"/>
      <c r="E5" s="299"/>
      <c r="F5" s="299"/>
      <c r="G5" s="298"/>
      <c r="H5" s="300"/>
      <c r="I5" s="300"/>
      <c r="K5" s="322" t="s">
        <v>586</v>
      </c>
      <c r="N5" s="302"/>
    </row>
    <row r="6" spans="1:14" ht="20.399999999999999" x14ac:dyDescent="0.3">
      <c r="A6" s="297" t="s">
        <v>503</v>
      </c>
      <c r="B6" s="298" t="s">
        <v>340</v>
      </c>
      <c r="C6" s="299" t="e">
        <v>#N/A</v>
      </c>
      <c r="D6" s="298"/>
      <c r="E6" s="299"/>
      <c r="F6" s="299"/>
      <c r="G6" s="298"/>
      <c r="H6" s="300"/>
      <c r="I6" s="300"/>
      <c r="K6" s="322" t="s">
        <v>585</v>
      </c>
      <c r="N6" s="302"/>
    </row>
    <row r="7" spans="1:14" ht="20.399999999999999" x14ac:dyDescent="0.3">
      <c r="A7" s="297" t="s">
        <v>504</v>
      </c>
      <c r="B7" s="298" t="s">
        <v>343</v>
      </c>
      <c r="C7" s="299" t="e">
        <v>#N/A</v>
      </c>
      <c r="D7" s="298"/>
      <c r="E7" s="301"/>
      <c r="F7" s="301"/>
      <c r="G7" s="298"/>
      <c r="H7" s="300"/>
      <c r="I7" s="300"/>
      <c r="K7" s="322" t="s">
        <v>586</v>
      </c>
      <c r="N7" s="302"/>
    </row>
    <row r="8" spans="1:14" ht="20.399999999999999" x14ac:dyDescent="0.3">
      <c r="A8" s="297" t="s">
        <v>505</v>
      </c>
      <c r="B8" s="298" t="s">
        <v>346</v>
      </c>
      <c r="C8" s="299" t="e">
        <v>#N/A</v>
      </c>
      <c r="D8" s="298"/>
      <c r="G8" s="298"/>
      <c r="H8" s="300"/>
      <c r="I8" s="300"/>
      <c r="K8" s="322" t="s">
        <v>586</v>
      </c>
      <c r="N8" s="302"/>
    </row>
    <row r="9" spans="1:14" ht="20.399999999999999" x14ac:dyDescent="0.3">
      <c r="A9" s="297" t="s">
        <v>506</v>
      </c>
      <c r="B9" s="298" t="s">
        <v>348</v>
      </c>
      <c r="C9" s="299" t="e">
        <v>#N/A</v>
      </c>
      <c r="D9" s="298"/>
      <c r="E9" s="298"/>
      <c r="F9" s="299"/>
      <c r="G9" s="298"/>
      <c r="H9" s="300"/>
      <c r="I9" s="300"/>
      <c r="K9" s="322" t="s">
        <v>586</v>
      </c>
      <c r="N9" s="302"/>
    </row>
    <row r="10" spans="1:14" ht="20.399999999999999" x14ac:dyDescent="0.3">
      <c r="A10" s="297" t="s">
        <v>429</v>
      </c>
      <c r="B10" s="298" t="s">
        <v>350</v>
      </c>
      <c r="C10" s="35" t="s">
        <v>441</v>
      </c>
      <c r="D10" s="35" t="s">
        <v>440</v>
      </c>
      <c r="E10" s="35" t="s">
        <v>442</v>
      </c>
      <c r="F10" s="35" t="s">
        <v>443</v>
      </c>
      <c r="G10" s="35" t="s">
        <v>444</v>
      </c>
      <c r="H10" s="35" t="s">
        <v>445</v>
      </c>
      <c r="I10" s="35" t="s">
        <v>446</v>
      </c>
      <c r="J10" s="35" t="s">
        <v>447</v>
      </c>
      <c r="K10" s="322" t="s">
        <v>587</v>
      </c>
      <c r="N10" s="302"/>
    </row>
    <row r="11" spans="1:14" ht="20.399999999999999" x14ac:dyDescent="0.3">
      <c r="A11" s="297" t="s">
        <v>647</v>
      </c>
      <c r="B11" s="298" t="s">
        <v>350</v>
      </c>
      <c r="C11" s="35" t="s">
        <v>441</v>
      </c>
      <c r="D11" s="35" t="s">
        <v>440</v>
      </c>
      <c r="E11" s="35" t="s">
        <v>442</v>
      </c>
      <c r="F11" s="35" t="s">
        <v>443</v>
      </c>
      <c r="G11" s="35" t="s">
        <v>444</v>
      </c>
      <c r="H11" s="35" t="s">
        <v>445</v>
      </c>
      <c r="I11" s="35" t="s">
        <v>446</v>
      </c>
      <c r="J11" s="35" t="s">
        <v>447</v>
      </c>
      <c r="K11" s="322" t="s">
        <v>587</v>
      </c>
      <c r="N11" s="302"/>
    </row>
    <row r="12" spans="1:14" ht="20.399999999999999" x14ac:dyDescent="0.3">
      <c r="A12" s="297" t="s">
        <v>430</v>
      </c>
      <c r="B12" s="298" t="s">
        <v>352</v>
      </c>
      <c r="C12" s="35" t="s">
        <v>448</v>
      </c>
      <c r="D12" s="35" t="s">
        <v>440</v>
      </c>
      <c r="E12" s="35" t="s">
        <v>449</v>
      </c>
      <c r="F12" s="35" t="s">
        <v>443</v>
      </c>
      <c r="G12" s="35" t="s">
        <v>450</v>
      </c>
      <c r="H12" s="35" t="s">
        <v>451</v>
      </c>
      <c r="I12" s="35" t="s">
        <v>446</v>
      </c>
      <c r="J12" s="35" t="s">
        <v>452</v>
      </c>
      <c r="K12" s="322" t="s">
        <v>588</v>
      </c>
      <c r="N12" s="302"/>
    </row>
    <row r="13" spans="1:14" ht="20.399999999999999" x14ac:dyDescent="0.3">
      <c r="A13" s="297" t="s">
        <v>431</v>
      </c>
      <c r="B13" s="298" t="s">
        <v>354</v>
      </c>
      <c r="C13" s="35" t="s">
        <v>453</v>
      </c>
      <c r="D13" s="35" t="s">
        <v>440</v>
      </c>
      <c r="E13" s="35" t="s">
        <v>454</v>
      </c>
      <c r="F13" s="35" t="s">
        <v>443</v>
      </c>
      <c r="G13" s="35" t="s">
        <v>455</v>
      </c>
      <c r="H13" s="35" t="s">
        <v>456</v>
      </c>
      <c r="I13" s="35" t="s">
        <v>446</v>
      </c>
      <c r="J13" s="35" t="s">
        <v>452</v>
      </c>
      <c r="K13" s="322" t="s">
        <v>591</v>
      </c>
      <c r="N13" s="302"/>
    </row>
    <row r="14" spans="1:14" x14ac:dyDescent="0.3">
      <c r="A14" s="297" t="s">
        <v>515</v>
      </c>
      <c r="B14" s="35" t="s">
        <v>497</v>
      </c>
      <c r="C14" s="35" t="s">
        <v>468</v>
      </c>
      <c r="D14" s="35" t="s">
        <v>464</v>
      </c>
      <c r="E14" s="35" t="s">
        <v>442</v>
      </c>
      <c r="F14" s="35" t="s">
        <v>443</v>
      </c>
      <c r="G14" s="35" t="s">
        <v>444</v>
      </c>
      <c r="H14" s="35" t="s">
        <v>445</v>
      </c>
      <c r="I14" s="35" t="s">
        <v>446</v>
      </c>
      <c r="J14" s="35" t="s">
        <v>447</v>
      </c>
      <c r="N14" s="302"/>
    </row>
    <row r="15" spans="1:14" x14ac:dyDescent="0.3">
      <c r="A15" s="297" t="s">
        <v>516</v>
      </c>
      <c r="B15" s="35" t="s">
        <v>499</v>
      </c>
      <c r="C15" s="35" t="s">
        <v>500</v>
      </c>
      <c r="D15" s="35" t="s">
        <v>464</v>
      </c>
      <c r="E15" s="35" t="s">
        <v>449</v>
      </c>
      <c r="F15" s="35" t="s">
        <v>443</v>
      </c>
      <c r="G15" s="35" t="s">
        <v>450</v>
      </c>
      <c r="H15" s="35" t="s">
        <v>451</v>
      </c>
      <c r="I15" s="35" t="s">
        <v>446</v>
      </c>
      <c r="J15" s="35" t="s">
        <v>452</v>
      </c>
      <c r="N15" s="302"/>
    </row>
    <row r="16" spans="1:14" x14ac:dyDescent="0.3">
      <c r="A16" s="297" t="s">
        <v>517</v>
      </c>
      <c r="B16" s="290" t="s">
        <v>501</v>
      </c>
      <c r="C16" s="290" t="s">
        <v>502</v>
      </c>
      <c r="D16" s="290" t="s">
        <v>464</v>
      </c>
      <c r="E16" s="290" t="s">
        <v>454</v>
      </c>
      <c r="F16" s="290" t="s">
        <v>443</v>
      </c>
      <c r="G16" s="388" t="s">
        <v>725</v>
      </c>
      <c r="H16" s="388" t="s">
        <v>724</v>
      </c>
      <c r="I16" s="290" t="s">
        <v>446</v>
      </c>
      <c r="J16" s="290" t="s">
        <v>452</v>
      </c>
      <c r="N16" s="302"/>
    </row>
    <row r="17" spans="1:14" ht="20.399999999999999" x14ac:dyDescent="0.3">
      <c r="A17" s="297" t="s">
        <v>432</v>
      </c>
      <c r="B17" s="298" t="s">
        <v>356</v>
      </c>
      <c r="C17" s="35" t="s">
        <v>457</v>
      </c>
      <c r="D17" s="35" t="s">
        <v>440</v>
      </c>
      <c r="E17" s="35" t="s">
        <v>454</v>
      </c>
      <c r="F17" s="35" t="s">
        <v>443</v>
      </c>
      <c r="G17" s="389" t="s">
        <v>725</v>
      </c>
      <c r="H17" s="389" t="s">
        <v>724</v>
      </c>
      <c r="I17" s="35" t="s">
        <v>446</v>
      </c>
      <c r="J17" s="35" t="s">
        <v>452</v>
      </c>
      <c r="K17" s="322" t="s">
        <v>591</v>
      </c>
      <c r="N17" s="302"/>
    </row>
    <row r="18" spans="1:14" ht="20.399999999999999" x14ac:dyDescent="0.3">
      <c r="A18" s="297" t="s">
        <v>646</v>
      </c>
      <c r="B18" s="298" t="s">
        <v>356</v>
      </c>
      <c r="C18" s="35" t="s">
        <v>457</v>
      </c>
      <c r="D18" s="35" t="s">
        <v>440</v>
      </c>
      <c r="E18" s="35" t="s">
        <v>454</v>
      </c>
      <c r="F18" s="35" t="s">
        <v>443</v>
      </c>
      <c r="G18" s="389" t="s">
        <v>725</v>
      </c>
      <c r="H18" s="389" t="s">
        <v>724</v>
      </c>
      <c r="I18" s="35" t="s">
        <v>446</v>
      </c>
      <c r="J18" s="35" t="s">
        <v>452</v>
      </c>
      <c r="K18" s="322" t="s">
        <v>591</v>
      </c>
      <c r="N18" s="302"/>
    </row>
    <row r="19" spans="1:14" ht="20.399999999999999" x14ac:dyDescent="0.3">
      <c r="A19" s="297" t="s">
        <v>433</v>
      </c>
      <c r="B19" s="298" t="s">
        <v>358</v>
      </c>
      <c r="C19" s="298" t="e">
        <v>#N/A</v>
      </c>
      <c r="D19" s="298"/>
      <c r="E19" s="298"/>
      <c r="F19" s="298"/>
      <c r="G19" s="298"/>
      <c r="H19" s="300"/>
      <c r="I19" s="300"/>
      <c r="K19" s="322" t="s">
        <v>589</v>
      </c>
      <c r="N19" s="302"/>
    </row>
    <row r="20" spans="1:14" ht="20.399999999999999" x14ac:dyDescent="0.3">
      <c r="A20" s="297" t="s">
        <v>507</v>
      </c>
      <c r="B20" s="298" t="s">
        <v>360</v>
      </c>
      <c r="C20" s="35" t="s">
        <v>498</v>
      </c>
      <c r="D20" s="35" t="s">
        <v>464</v>
      </c>
      <c r="E20" s="35" t="s">
        <v>442</v>
      </c>
      <c r="F20" s="35" t="s">
        <v>443</v>
      </c>
      <c r="G20" s="35" t="s">
        <v>444</v>
      </c>
      <c r="H20" s="35" t="s">
        <v>445</v>
      </c>
      <c r="I20" s="35" t="s">
        <v>446</v>
      </c>
      <c r="J20" s="35" t="s">
        <v>447</v>
      </c>
      <c r="K20" s="322" t="s">
        <v>587</v>
      </c>
      <c r="N20" s="302"/>
    </row>
    <row r="21" spans="1:14" ht="20.399999999999999" x14ac:dyDescent="0.3">
      <c r="A21" s="297" t="s">
        <v>508</v>
      </c>
      <c r="B21" s="298" t="s">
        <v>362</v>
      </c>
      <c r="C21" s="35" t="s">
        <v>465</v>
      </c>
      <c r="D21" s="35" t="s">
        <v>464</v>
      </c>
      <c r="E21" s="35" t="s">
        <v>449</v>
      </c>
      <c r="F21" s="35" t="s">
        <v>443</v>
      </c>
      <c r="G21" s="35" t="s">
        <v>450</v>
      </c>
      <c r="H21" s="35" t="s">
        <v>451</v>
      </c>
      <c r="I21" s="35" t="s">
        <v>446</v>
      </c>
      <c r="J21" s="35" t="s">
        <v>452</v>
      </c>
      <c r="K21" s="322" t="s">
        <v>588</v>
      </c>
      <c r="N21" s="302"/>
    </row>
    <row r="22" spans="1:14" ht="20.399999999999999" x14ac:dyDescent="0.3">
      <c r="A22" s="297" t="s">
        <v>509</v>
      </c>
      <c r="B22" s="298" t="s">
        <v>364</v>
      </c>
      <c r="C22" s="35" t="s">
        <v>466</v>
      </c>
      <c r="D22" s="35" t="s">
        <v>464</v>
      </c>
      <c r="E22" s="35" t="s">
        <v>454</v>
      </c>
      <c r="F22" s="35" t="s">
        <v>443</v>
      </c>
      <c r="G22" s="35" t="s">
        <v>455</v>
      </c>
      <c r="H22" s="35" t="s">
        <v>456</v>
      </c>
      <c r="I22" s="35" t="s">
        <v>446</v>
      </c>
      <c r="J22" s="35" t="s">
        <v>452</v>
      </c>
      <c r="K22" s="322" t="s">
        <v>591</v>
      </c>
      <c r="N22" s="302"/>
    </row>
    <row r="23" spans="1:14" ht="20.399999999999999" x14ac:dyDescent="0.3">
      <c r="A23" s="297" t="s">
        <v>510</v>
      </c>
      <c r="B23" s="298" t="s">
        <v>366</v>
      </c>
      <c r="C23" s="35" t="s">
        <v>467</v>
      </c>
      <c r="D23" s="35" t="s">
        <v>464</v>
      </c>
      <c r="E23" s="35" t="s">
        <v>454</v>
      </c>
      <c r="F23" s="35" t="s">
        <v>443</v>
      </c>
      <c r="G23" s="389" t="s">
        <v>725</v>
      </c>
      <c r="H23" s="389" t="s">
        <v>724</v>
      </c>
      <c r="I23" s="290" t="s">
        <v>446</v>
      </c>
      <c r="J23" s="290" t="s">
        <v>452</v>
      </c>
      <c r="K23" s="322" t="s">
        <v>591</v>
      </c>
      <c r="N23" s="302"/>
    </row>
    <row r="24" spans="1:14" ht="20.399999999999999" x14ac:dyDescent="0.3">
      <c r="A24" s="297" t="s">
        <v>511</v>
      </c>
      <c r="B24" s="298" t="s">
        <v>368</v>
      </c>
      <c r="C24" s="298" t="e">
        <v>#N/A</v>
      </c>
      <c r="D24" s="298"/>
      <c r="E24" s="298"/>
      <c r="F24" s="298"/>
      <c r="G24" s="298"/>
      <c r="H24" s="300"/>
      <c r="I24" s="300"/>
      <c r="K24" s="322" t="s">
        <v>589</v>
      </c>
      <c r="N24" s="302"/>
    </row>
    <row r="25" spans="1:14" ht="20.399999999999999" x14ac:dyDescent="0.3">
      <c r="A25" s="297" t="s">
        <v>434</v>
      </c>
      <c r="B25" s="298" t="s">
        <v>370</v>
      </c>
      <c r="C25" s="298" t="e">
        <v>#N/A</v>
      </c>
      <c r="D25" s="298"/>
      <c r="E25" s="298"/>
      <c r="F25" s="298"/>
      <c r="G25" s="298"/>
      <c r="H25" s="300"/>
      <c r="I25" s="300"/>
      <c r="K25" s="323" t="s">
        <v>592</v>
      </c>
      <c r="N25" s="305"/>
    </row>
    <row r="26" spans="1:14" ht="20.399999999999999" x14ac:dyDescent="0.3">
      <c r="A26" s="297" t="s">
        <v>435</v>
      </c>
      <c r="B26" s="298" t="s">
        <v>372</v>
      </c>
      <c r="C26" s="298" t="e">
        <v>#N/A</v>
      </c>
      <c r="D26" s="298"/>
      <c r="E26" s="298"/>
      <c r="F26" s="298"/>
      <c r="G26" s="298"/>
      <c r="H26" s="300"/>
      <c r="I26" s="300"/>
      <c r="K26" s="323" t="s">
        <v>593</v>
      </c>
      <c r="N26" s="302"/>
    </row>
    <row r="27" spans="1:14" ht="20.399999999999999" x14ac:dyDescent="0.3">
      <c r="A27" s="297" t="s">
        <v>436</v>
      </c>
      <c r="B27" s="298" t="s">
        <v>374</v>
      </c>
      <c r="C27" s="298" t="e">
        <v>#N/A</v>
      </c>
      <c r="D27" s="298"/>
      <c r="E27" s="298"/>
      <c r="F27" s="298"/>
      <c r="G27" s="298"/>
      <c r="H27" s="302"/>
      <c r="I27" s="302"/>
      <c r="K27" s="323" t="s">
        <v>590</v>
      </c>
      <c r="N27" s="302"/>
    </row>
    <row r="28" spans="1:14" ht="20.399999999999999" x14ac:dyDescent="0.3">
      <c r="A28" s="297" t="s">
        <v>512</v>
      </c>
      <c r="B28" s="298" t="s">
        <v>375</v>
      </c>
      <c r="C28" s="298" t="e">
        <v>#N/A</v>
      </c>
      <c r="D28" s="298"/>
      <c r="E28" s="298"/>
      <c r="F28" s="298"/>
      <c r="G28" s="298"/>
      <c r="H28" s="302"/>
      <c r="I28" s="302"/>
      <c r="K28" s="323" t="s">
        <v>592</v>
      </c>
      <c r="N28" s="302"/>
    </row>
    <row r="29" spans="1:14" ht="20.399999999999999" x14ac:dyDescent="0.3">
      <c r="A29" s="297" t="s">
        <v>513</v>
      </c>
      <c r="B29" s="298" t="s">
        <v>376</v>
      </c>
      <c r="C29" s="35" t="s">
        <v>469</v>
      </c>
      <c r="D29" s="35" t="s">
        <v>464</v>
      </c>
      <c r="E29" s="35" t="s">
        <v>449</v>
      </c>
      <c r="F29" s="35" t="s">
        <v>443</v>
      </c>
      <c r="G29" s="35" t="s">
        <v>455</v>
      </c>
      <c r="H29" s="35" t="s">
        <v>456</v>
      </c>
      <c r="I29" s="35" t="s">
        <v>446</v>
      </c>
      <c r="J29" s="35" t="s">
        <v>452</v>
      </c>
      <c r="K29" s="323" t="s">
        <v>593</v>
      </c>
      <c r="N29" s="302"/>
    </row>
    <row r="30" spans="1:14" ht="20.399999999999999" x14ac:dyDescent="0.3">
      <c r="A30" s="297" t="s">
        <v>514</v>
      </c>
      <c r="B30" s="298" t="s">
        <v>377</v>
      </c>
      <c r="C30" s="35" t="s">
        <v>470</v>
      </c>
      <c r="D30" s="35" t="s">
        <v>464</v>
      </c>
      <c r="E30" s="35" t="s">
        <v>454</v>
      </c>
      <c r="F30" s="35" t="s">
        <v>443</v>
      </c>
      <c r="G30" s="35" t="s">
        <v>471</v>
      </c>
      <c r="H30" s="35" t="s">
        <v>472</v>
      </c>
      <c r="I30" s="35" t="s">
        <v>446</v>
      </c>
      <c r="J30" s="35" t="s">
        <v>473</v>
      </c>
      <c r="K30" s="323" t="s">
        <v>590</v>
      </c>
      <c r="N30" s="302"/>
    </row>
    <row r="31" spans="1:14" x14ac:dyDescent="0.3">
      <c r="A31" s="297" t="s">
        <v>644</v>
      </c>
      <c r="B31" s="298" t="s">
        <v>378</v>
      </c>
      <c r="C31" s="298" t="e">
        <v>#N/A</v>
      </c>
      <c r="D31" s="298"/>
      <c r="E31" s="298"/>
      <c r="F31" s="298"/>
      <c r="G31" s="298"/>
      <c r="H31" s="302"/>
      <c r="I31" s="302"/>
      <c r="K31" s="75" t="str">
        <f>""</f>
        <v/>
      </c>
      <c r="N31" s="302"/>
    </row>
    <row r="32" spans="1:14" x14ac:dyDescent="0.3">
      <c r="A32" s="297" t="s">
        <v>645</v>
      </c>
      <c r="B32" s="298" t="s">
        <v>379</v>
      </c>
      <c r="C32" s="298" t="e">
        <v>#N/A</v>
      </c>
      <c r="E32" s="298"/>
      <c r="F32" s="298"/>
      <c r="G32" s="298"/>
      <c r="H32" s="302"/>
      <c r="I32" s="302"/>
      <c r="K32" s="75" t="str">
        <f>""</f>
        <v/>
      </c>
      <c r="N32" s="302"/>
    </row>
    <row r="33" spans="1:14" ht="20.399999999999999" x14ac:dyDescent="0.3">
      <c r="A33" s="299" t="s">
        <v>420</v>
      </c>
      <c r="B33" s="299" t="s">
        <v>329</v>
      </c>
      <c r="C33" s="298" t="e">
        <v>#N/A</v>
      </c>
      <c r="H33" s="302"/>
      <c r="I33" s="302"/>
      <c r="K33" s="322" t="s">
        <v>598</v>
      </c>
      <c r="N33" s="302"/>
    </row>
    <row r="34" spans="1:14" ht="20.399999999999999" x14ac:dyDescent="0.3">
      <c r="A34" s="299" t="s">
        <v>747</v>
      </c>
      <c r="B34" s="299" t="s">
        <v>332</v>
      </c>
      <c r="C34" s="298" t="e">
        <v>#N/A</v>
      </c>
      <c r="H34" s="302"/>
      <c r="I34" s="302"/>
      <c r="K34" s="322" t="s">
        <v>598</v>
      </c>
      <c r="N34" s="302"/>
    </row>
    <row r="35" spans="1:14" ht="20.399999999999999" x14ac:dyDescent="0.3">
      <c r="A35" s="299" t="s">
        <v>421</v>
      </c>
      <c r="B35" s="299" t="s">
        <v>335</v>
      </c>
      <c r="C35" s="298" t="e">
        <v>#N/A</v>
      </c>
      <c r="H35" s="302"/>
      <c r="I35" s="302"/>
      <c r="K35" s="322" t="s">
        <v>599</v>
      </c>
      <c r="N35" s="302"/>
    </row>
    <row r="36" spans="1:14" ht="20.399999999999999" x14ac:dyDescent="0.3">
      <c r="A36" s="299" t="s">
        <v>422</v>
      </c>
      <c r="B36" s="299" t="s">
        <v>338</v>
      </c>
      <c r="C36" s="298" t="e">
        <v>#N/A</v>
      </c>
      <c r="H36" s="302"/>
      <c r="I36" s="302"/>
      <c r="K36" s="322" t="s">
        <v>599</v>
      </c>
      <c r="N36" s="302"/>
    </row>
    <row r="37" spans="1:14" ht="20.399999999999999" x14ac:dyDescent="0.3">
      <c r="A37" s="299" t="s">
        <v>423</v>
      </c>
      <c r="B37" s="299" t="s">
        <v>341</v>
      </c>
      <c r="C37" s="298" t="e">
        <v>#N/A</v>
      </c>
      <c r="K37" s="322" t="s">
        <v>600</v>
      </c>
      <c r="N37" s="302"/>
    </row>
    <row r="38" spans="1:14" ht="20.399999999999999" x14ac:dyDescent="0.3">
      <c r="A38" s="301" t="s">
        <v>424</v>
      </c>
      <c r="B38" s="301" t="s">
        <v>344</v>
      </c>
      <c r="C38" s="298" t="e">
        <v>#N/A</v>
      </c>
      <c r="K38" s="322" t="s">
        <v>600</v>
      </c>
      <c r="N38" s="304"/>
    </row>
    <row r="39" spans="1:14" ht="20.399999999999999" x14ac:dyDescent="0.3">
      <c r="A39" s="300" t="s">
        <v>380</v>
      </c>
      <c r="B39" s="300" t="s">
        <v>330</v>
      </c>
      <c r="C39" s="35" t="s">
        <v>519</v>
      </c>
      <c r="D39" s="35" t="s">
        <v>518</v>
      </c>
      <c r="E39" s="35" t="s">
        <v>520</v>
      </c>
      <c r="F39" s="35" t="s">
        <v>521</v>
      </c>
      <c r="G39" s="35" t="s">
        <v>522</v>
      </c>
      <c r="H39" s="35" t="s">
        <v>523</v>
      </c>
      <c r="I39" s="35" t="s">
        <v>524</v>
      </c>
      <c r="J39" s="35" t="s">
        <v>524</v>
      </c>
      <c r="K39" s="323" t="s">
        <v>594</v>
      </c>
    </row>
    <row r="40" spans="1:14" ht="20.399999999999999" x14ac:dyDescent="0.3">
      <c r="A40" s="300" t="s">
        <v>381</v>
      </c>
      <c r="B40" s="300" t="s">
        <v>333</v>
      </c>
      <c r="C40" s="35" t="s">
        <v>525</v>
      </c>
      <c r="D40" s="35" t="s">
        <v>518</v>
      </c>
      <c r="E40" s="35" t="s">
        <v>526</v>
      </c>
      <c r="F40" s="35" t="s">
        <v>527</v>
      </c>
      <c r="G40" s="35" t="s">
        <v>528</v>
      </c>
      <c r="H40" s="35" t="s">
        <v>529</v>
      </c>
      <c r="I40" s="35" t="s">
        <v>530</v>
      </c>
      <c r="J40" s="35" t="s">
        <v>530</v>
      </c>
      <c r="K40" s="323" t="s">
        <v>594</v>
      </c>
      <c r="N40" s="305"/>
    </row>
    <row r="41" spans="1:14" ht="20.399999999999999" x14ac:dyDescent="0.3">
      <c r="A41" s="300" t="s">
        <v>382</v>
      </c>
      <c r="B41" s="300" t="s">
        <v>336</v>
      </c>
      <c r="C41" s="35" t="s">
        <v>531</v>
      </c>
      <c r="D41" s="35" t="s">
        <v>518</v>
      </c>
      <c r="E41" s="35" t="s">
        <v>526</v>
      </c>
      <c r="F41" s="35" t="s">
        <v>527</v>
      </c>
      <c r="G41" s="35" t="s">
        <v>528</v>
      </c>
      <c r="H41" s="35" t="s">
        <v>529</v>
      </c>
      <c r="I41" s="35" t="s">
        <v>530</v>
      </c>
      <c r="J41" s="35" t="s">
        <v>530</v>
      </c>
      <c r="K41" s="323" t="s">
        <v>594</v>
      </c>
      <c r="N41" s="305"/>
    </row>
    <row r="42" spans="1:14" ht="20.399999999999999" x14ac:dyDescent="0.3">
      <c r="A42" s="300" t="s">
        <v>383</v>
      </c>
      <c r="B42" s="300" t="s">
        <v>339</v>
      </c>
      <c r="C42" s="75" t="e">
        <v>#N/A</v>
      </c>
      <c r="K42" s="323" t="s">
        <v>594</v>
      </c>
      <c r="N42" s="306"/>
    </row>
    <row r="43" spans="1:14" ht="20.399999999999999" x14ac:dyDescent="0.3">
      <c r="A43" s="300" t="s">
        <v>384</v>
      </c>
      <c r="B43" s="300" t="s">
        <v>342</v>
      </c>
      <c r="C43" s="35" t="s">
        <v>532</v>
      </c>
      <c r="D43" s="35" t="s">
        <v>518</v>
      </c>
      <c r="E43" s="35" t="s">
        <v>526</v>
      </c>
      <c r="F43" s="35" t="s">
        <v>527</v>
      </c>
      <c r="G43" s="35" t="s">
        <v>528</v>
      </c>
      <c r="H43" s="35" t="s">
        <v>529</v>
      </c>
      <c r="I43" s="35" t="s">
        <v>530</v>
      </c>
      <c r="J43" s="35" t="s">
        <v>530</v>
      </c>
      <c r="K43" s="323" t="s">
        <v>594</v>
      </c>
    </row>
    <row r="44" spans="1:14" ht="20.399999999999999" x14ac:dyDescent="0.3">
      <c r="A44" s="300" t="s">
        <v>385</v>
      </c>
      <c r="B44" s="300" t="s">
        <v>345</v>
      </c>
      <c r="C44" s="35" t="s">
        <v>533</v>
      </c>
      <c r="D44" s="35" t="s">
        <v>518</v>
      </c>
      <c r="E44" s="35" t="s">
        <v>526</v>
      </c>
      <c r="F44" s="35" t="s">
        <v>527</v>
      </c>
      <c r="G44" s="35" t="s">
        <v>528</v>
      </c>
      <c r="H44" s="35" t="s">
        <v>529</v>
      </c>
      <c r="I44" s="35" t="s">
        <v>530</v>
      </c>
      <c r="J44" s="35" t="s">
        <v>530</v>
      </c>
      <c r="K44" s="323" t="s">
        <v>594</v>
      </c>
    </row>
    <row r="45" spans="1:14" ht="20.399999999999999" x14ac:dyDescent="0.3">
      <c r="A45" s="300" t="s">
        <v>386</v>
      </c>
      <c r="B45" s="300" t="s">
        <v>347</v>
      </c>
      <c r="C45" s="75" t="e">
        <v>#N/A</v>
      </c>
      <c r="K45" s="323" t="s">
        <v>594</v>
      </c>
    </row>
    <row r="46" spans="1:14" ht="20.399999999999999" x14ac:dyDescent="0.3">
      <c r="A46" s="300" t="s">
        <v>387</v>
      </c>
      <c r="B46" s="300" t="s">
        <v>349</v>
      </c>
      <c r="C46" s="35" t="s">
        <v>534</v>
      </c>
      <c r="D46" s="35" t="s">
        <v>518</v>
      </c>
      <c r="E46" s="35" t="s">
        <v>526</v>
      </c>
      <c r="F46" s="35" t="s">
        <v>527</v>
      </c>
      <c r="G46" s="35" t="s">
        <v>535</v>
      </c>
      <c r="H46" s="35" t="s">
        <v>536</v>
      </c>
      <c r="I46" s="35" t="s">
        <v>537</v>
      </c>
      <c r="J46" s="35" t="s">
        <v>537</v>
      </c>
      <c r="K46" s="323" t="s">
        <v>595</v>
      </c>
    </row>
    <row r="47" spans="1:14" ht="20.399999999999999" x14ac:dyDescent="0.3">
      <c r="A47" s="300" t="s">
        <v>388</v>
      </c>
      <c r="B47" s="300" t="s">
        <v>351</v>
      </c>
      <c r="C47" s="75" t="e">
        <v>#N/A</v>
      </c>
      <c r="K47" s="323" t="s">
        <v>595</v>
      </c>
    </row>
    <row r="48" spans="1:14" ht="20.399999999999999" x14ac:dyDescent="0.3">
      <c r="A48" s="300" t="s">
        <v>389</v>
      </c>
      <c r="B48" s="300" t="s">
        <v>353</v>
      </c>
      <c r="C48" s="75" t="e">
        <v>#N/A</v>
      </c>
      <c r="K48" s="323" t="s">
        <v>595</v>
      </c>
    </row>
    <row r="49" spans="1:11" ht="20.399999999999999" x14ac:dyDescent="0.3">
      <c r="A49" s="300" t="s">
        <v>390</v>
      </c>
      <c r="B49" s="300" t="s">
        <v>355</v>
      </c>
      <c r="C49" s="75" t="e">
        <v>#N/A</v>
      </c>
      <c r="K49" s="323" t="s">
        <v>595</v>
      </c>
    </row>
    <row r="50" spans="1:11" ht="20.399999999999999" x14ac:dyDescent="0.3">
      <c r="A50" s="300" t="s">
        <v>391</v>
      </c>
      <c r="B50" s="300" t="s">
        <v>357</v>
      </c>
      <c r="C50" s="75" t="e">
        <v>#N/A</v>
      </c>
      <c r="K50" s="323" t="s">
        <v>595</v>
      </c>
    </row>
    <row r="51" spans="1:11" ht="20.399999999999999" x14ac:dyDescent="0.3">
      <c r="A51" s="300" t="s">
        <v>392</v>
      </c>
      <c r="B51" s="300" t="s">
        <v>359</v>
      </c>
      <c r="C51" s="75" t="e">
        <v>#N/A</v>
      </c>
      <c r="K51" s="323" t="s">
        <v>595</v>
      </c>
    </row>
    <row r="52" spans="1:11" ht="20.399999999999999" x14ac:dyDescent="0.3">
      <c r="A52" s="300" t="s">
        <v>393</v>
      </c>
      <c r="B52" s="300" t="s">
        <v>361</v>
      </c>
      <c r="C52" s="75" t="e">
        <v>#N/A</v>
      </c>
      <c r="K52" s="323" t="s">
        <v>596</v>
      </c>
    </row>
    <row r="53" spans="1:11" ht="20.399999999999999" x14ac:dyDescent="0.3">
      <c r="A53" s="300" t="s">
        <v>394</v>
      </c>
      <c r="B53" s="300" t="s">
        <v>363</v>
      </c>
      <c r="C53" s="75" t="e">
        <v>#N/A</v>
      </c>
      <c r="K53" s="323" t="s">
        <v>596</v>
      </c>
    </row>
    <row r="54" spans="1:11" ht="20.399999999999999" x14ac:dyDescent="0.3">
      <c r="A54" s="300" t="s">
        <v>395</v>
      </c>
      <c r="B54" s="300" t="s">
        <v>365</v>
      </c>
      <c r="C54" s="75" t="e">
        <v>#N/A</v>
      </c>
      <c r="K54" s="323" t="s">
        <v>596</v>
      </c>
    </row>
    <row r="55" spans="1:11" ht="20.399999999999999" x14ac:dyDescent="0.3">
      <c r="A55" s="300" t="s">
        <v>396</v>
      </c>
      <c r="B55" s="300" t="s">
        <v>367</v>
      </c>
      <c r="C55" s="75" t="e">
        <v>#N/A</v>
      </c>
      <c r="K55" s="323" t="s">
        <v>596</v>
      </c>
    </row>
    <row r="56" spans="1:11" ht="20.399999999999999" x14ac:dyDescent="0.3">
      <c r="A56" s="300" t="s">
        <v>397</v>
      </c>
      <c r="B56" s="300" t="s">
        <v>369</v>
      </c>
      <c r="C56" s="75" t="e">
        <v>#N/A</v>
      </c>
      <c r="K56" s="323" t="s">
        <v>596</v>
      </c>
    </row>
    <row r="57" spans="1:11" ht="20.399999999999999" x14ac:dyDescent="0.3">
      <c r="A57" s="300" t="s">
        <v>398</v>
      </c>
      <c r="B57" s="300" t="s">
        <v>371</v>
      </c>
      <c r="C57" s="75" t="e">
        <v>#N/A</v>
      </c>
      <c r="K57" s="323" t="s">
        <v>596</v>
      </c>
    </row>
    <row r="58" spans="1:11" ht="20.399999999999999" x14ac:dyDescent="0.3">
      <c r="A58" s="300" t="s">
        <v>399</v>
      </c>
      <c r="B58" s="300" t="s">
        <v>373</v>
      </c>
      <c r="C58" s="75" t="e">
        <v>#N/A</v>
      </c>
      <c r="K58" s="323" t="s">
        <v>596</v>
      </c>
    </row>
    <row r="59" spans="1:11" ht="20.399999999999999" x14ac:dyDescent="0.3">
      <c r="A59" s="302" t="s">
        <v>410</v>
      </c>
      <c r="B59" s="302" t="s">
        <v>400</v>
      </c>
      <c r="C59" s="35" t="s">
        <v>540</v>
      </c>
      <c r="D59" s="35" t="s">
        <v>538</v>
      </c>
      <c r="E59" s="35" t="s">
        <v>541</v>
      </c>
      <c r="F59" s="35" t="s">
        <v>521</v>
      </c>
      <c r="G59" s="35" t="s">
        <v>542</v>
      </c>
      <c r="H59" s="35" t="s">
        <v>543</v>
      </c>
      <c r="I59" s="290" t="s">
        <v>544</v>
      </c>
      <c r="J59" s="290" t="s">
        <v>544</v>
      </c>
      <c r="K59" s="323" t="s">
        <v>594</v>
      </c>
    </row>
    <row r="60" spans="1:11" ht="20.399999999999999" x14ac:dyDescent="0.3">
      <c r="A60" s="302" t="s">
        <v>411</v>
      </c>
      <c r="B60" s="302" t="s">
        <v>401</v>
      </c>
      <c r="C60" s="35" t="s">
        <v>545</v>
      </c>
      <c r="D60" s="35" t="s">
        <v>538</v>
      </c>
      <c r="E60" s="35" t="s">
        <v>526</v>
      </c>
      <c r="F60" s="35" t="s">
        <v>527</v>
      </c>
      <c r="G60" s="35" t="s">
        <v>528</v>
      </c>
      <c r="H60" s="35" t="s">
        <v>529</v>
      </c>
      <c r="I60" s="35" t="s">
        <v>530</v>
      </c>
      <c r="J60" s="35" t="s">
        <v>530</v>
      </c>
      <c r="K60" s="323" t="s">
        <v>594</v>
      </c>
    </row>
    <row r="61" spans="1:11" ht="20.399999999999999" x14ac:dyDescent="0.3">
      <c r="A61" s="303" t="s">
        <v>412</v>
      </c>
      <c r="B61" s="302" t="s">
        <v>402</v>
      </c>
      <c r="C61" s="35" t="s">
        <v>546</v>
      </c>
      <c r="D61" s="35" t="s">
        <v>538</v>
      </c>
      <c r="E61" s="35" t="s">
        <v>526</v>
      </c>
      <c r="F61" s="35" t="s">
        <v>527</v>
      </c>
      <c r="G61" s="35" t="s">
        <v>528</v>
      </c>
      <c r="H61" s="35" t="s">
        <v>529</v>
      </c>
      <c r="I61" s="290" t="s">
        <v>530</v>
      </c>
      <c r="J61" s="290" t="s">
        <v>530</v>
      </c>
      <c r="K61" s="323" t="s">
        <v>594</v>
      </c>
    </row>
    <row r="62" spans="1:11" ht="20.399999999999999" x14ac:dyDescent="0.3">
      <c r="A62" s="302" t="s">
        <v>413</v>
      </c>
      <c r="B62" s="302" t="s">
        <v>403</v>
      </c>
      <c r="C62" s="35" t="s">
        <v>547</v>
      </c>
      <c r="D62" s="35" t="s">
        <v>538</v>
      </c>
      <c r="E62" s="35" t="s">
        <v>526</v>
      </c>
      <c r="F62" s="35" t="s">
        <v>527</v>
      </c>
      <c r="G62" s="35" t="s">
        <v>535</v>
      </c>
      <c r="H62" s="35" t="s">
        <v>536</v>
      </c>
      <c r="I62" s="290" t="s">
        <v>537</v>
      </c>
      <c r="J62" s="290" t="s">
        <v>537</v>
      </c>
      <c r="K62" s="323" t="s">
        <v>594</v>
      </c>
    </row>
    <row r="63" spans="1:11" ht="20.399999999999999" x14ac:dyDescent="0.3">
      <c r="A63" s="302" t="s">
        <v>414</v>
      </c>
      <c r="B63" s="302" t="s">
        <v>404</v>
      </c>
      <c r="C63" s="75" t="e">
        <v>#N/A</v>
      </c>
      <c r="K63" s="323" t="s">
        <v>594</v>
      </c>
    </row>
    <row r="64" spans="1:11" ht="20.399999999999999" x14ac:dyDescent="0.3">
      <c r="A64" s="302" t="s">
        <v>415</v>
      </c>
      <c r="B64" s="302" t="s">
        <v>405</v>
      </c>
      <c r="C64" s="35" t="s">
        <v>539</v>
      </c>
      <c r="D64" s="35" t="s">
        <v>538</v>
      </c>
      <c r="E64" s="35" t="s">
        <v>526</v>
      </c>
      <c r="F64" s="35" t="s">
        <v>527</v>
      </c>
      <c r="G64" s="35" t="s">
        <v>535</v>
      </c>
      <c r="H64" s="35" t="s">
        <v>536</v>
      </c>
      <c r="I64" s="290" t="s">
        <v>537</v>
      </c>
      <c r="J64" s="290" t="s">
        <v>537</v>
      </c>
      <c r="K64" s="323" t="s">
        <v>595</v>
      </c>
    </row>
    <row r="65" spans="1:11" ht="20.399999999999999" x14ac:dyDescent="0.3">
      <c r="A65" s="302" t="s">
        <v>416</v>
      </c>
      <c r="B65" s="302" t="s">
        <v>406</v>
      </c>
      <c r="C65" s="75" t="e">
        <v>#N/A</v>
      </c>
      <c r="K65" s="323" t="s">
        <v>595</v>
      </c>
    </row>
    <row r="66" spans="1:11" ht="20.399999999999999" x14ac:dyDescent="0.3">
      <c r="A66" s="302" t="s">
        <v>417</v>
      </c>
      <c r="B66" s="302" t="s">
        <v>407</v>
      </c>
      <c r="C66" s="75" t="e">
        <v>#N/A</v>
      </c>
      <c r="K66" s="323" t="s">
        <v>595</v>
      </c>
    </row>
    <row r="67" spans="1:11" ht="20.399999999999999" x14ac:dyDescent="0.3">
      <c r="A67" s="302" t="s">
        <v>418</v>
      </c>
      <c r="B67" s="302" t="s">
        <v>408</v>
      </c>
      <c r="C67" s="75" t="e">
        <v>#N/A</v>
      </c>
      <c r="K67" s="323" t="s">
        <v>596</v>
      </c>
    </row>
    <row r="68" spans="1:11" ht="20.399999999999999" x14ac:dyDescent="0.3">
      <c r="A68" s="302" t="s">
        <v>419</v>
      </c>
      <c r="B68" s="302" t="s">
        <v>409</v>
      </c>
      <c r="C68" s="75" t="e">
        <v>#N/A</v>
      </c>
      <c r="K68" s="323" t="s">
        <v>596</v>
      </c>
    </row>
    <row r="69" spans="1:11" ht="20.399999999999999" x14ac:dyDescent="0.3">
      <c r="A69" s="75" t="s">
        <v>474</v>
      </c>
      <c r="B69" s="302" t="s">
        <v>437</v>
      </c>
      <c r="C69" s="35" t="s">
        <v>648</v>
      </c>
      <c r="D69" s="35" t="s">
        <v>577</v>
      </c>
      <c r="E69" s="35" t="s">
        <v>581</v>
      </c>
      <c r="F69" s="35" t="s">
        <v>577</v>
      </c>
      <c r="G69" s="35" t="s">
        <v>579</v>
      </c>
      <c r="H69" s="35" t="s">
        <v>439</v>
      </c>
      <c r="I69" s="35" t="s">
        <v>580</v>
      </c>
      <c r="J69" s="35" t="s">
        <v>580</v>
      </c>
      <c r="K69" s="323" t="s">
        <v>597</v>
      </c>
    </row>
    <row r="70" spans="1:11" ht="20.399999999999999" x14ac:dyDescent="0.3">
      <c r="A70" s="75" t="s">
        <v>475</v>
      </c>
      <c r="B70" s="302" t="s">
        <v>438</v>
      </c>
      <c r="C70" s="35" t="s">
        <v>578</v>
      </c>
      <c r="D70" s="35" t="s">
        <v>577</v>
      </c>
      <c r="E70" s="35" t="s">
        <v>581</v>
      </c>
      <c r="F70" s="35" t="s">
        <v>577</v>
      </c>
      <c r="G70" s="35" t="s">
        <v>579</v>
      </c>
      <c r="H70" s="35" t="s">
        <v>439</v>
      </c>
      <c r="I70" s="35" t="s">
        <v>580</v>
      </c>
      <c r="J70" s="35" t="s">
        <v>580</v>
      </c>
      <c r="K70" s="323" t="s">
        <v>597</v>
      </c>
    </row>
    <row r="71" spans="1:11" x14ac:dyDescent="0.3">
      <c r="A71" s="75" t="s">
        <v>476</v>
      </c>
      <c r="B71" s="305" t="s">
        <v>439</v>
      </c>
      <c r="C71" s="75" t="e">
        <v>#N/A</v>
      </c>
      <c r="K71" s="75" t="str">
        <f>""</f>
        <v/>
      </c>
    </row>
    <row r="72" spans="1:11" ht="30.6" x14ac:dyDescent="0.3">
      <c r="A72" s="75" t="s">
        <v>487</v>
      </c>
      <c r="B72" s="302" t="s">
        <v>477</v>
      </c>
      <c r="C72" s="75" t="e">
        <v>#N/A</v>
      </c>
      <c r="K72" s="322" t="s">
        <v>605</v>
      </c>
    </row>
    <row r="73" spans="1:11" ht="30.6" x14ac:dyDescent="0.3">
      <c r="A73" s="75" t="s">
        <v>488</v>
      </c>
      <c r="B73" s="302" t="s">
        <v>478</v>
      </c>
      <c r="C73" s="75" t="e">
        <v>#N/A</v>
      </c>
      <c r="K73" s="322" t="s">
        <v>603</v>
      </c>
    </row>
    <row r="74" spans="1:11" ht="30.6" x14ac:dyDescent="0.3">
      <c r="A74" s="75" t="s">
        <v>489</v>
      </c>
      <c r="B74" s="302" t="s">
        <v>479</v>
      </c>
      <c r="C74" s="75" t="e">
        <v>#N/A</v>
      </c>
      <c r="K74" s="322" t="s">
        <v>603</v>
      </c>
    </row>
    <row r="75" spans="1:11" ht="30.6" x14ac:dyDescent="0.3">
      <c r="A75" s="75" t="s">
        <v>490</v>
      </c>
      <c r="B75" s="302" t="s">
        <v>480</v>
      </c>
      <c r="C75" s="75" t="e">
        <v>#N/A</v>
      </c>
      <c r="K75" s="322" t="s">
        <v>604</v>
      </c>
    </row>
    <row r="76" spans="1:11" ht="20.399999999999999" x14ac:dyDescent="0.3">
      <c r="A76" s="75" t="s">
        <v>491</v>
      </c>
      <c r="B76" s="302" t="s">
        <v>481</v>
      </c>
      <c r="C76" s="75" t="e">
        <v>#N/A</v>
      </c>
      <c r="K76" s="322" t="s">
        <v>601</v>
      </c>
    </row>
    <row r="77" spans="1:11" ht="20.399999999999999" x14ac:dyDescent="0.3">
      <c r="A77" s="75" t="s">
        <v>492</v>
      </c>
      <c r="B77" s="302" t="s">
        <v>482</v>
      </c>
      <c r="C77" s="75" t="e">
        <v>#N/A</v>
      </c>
      <c r="K77" s="322" t="s">
        <v>601</v>
      </c>
    </row>
    <row r="78" spans="1:11" ht="20.399999999999999" x14ac:dyDescent="0.3">
      <c r="A78" s="75" t="s">
        <v>493</v>
      </c>
      <c r="B78" s="302" t="s">
        <v>483</v>
      </c>
      <c r="C78" s="75" t="e">
        <v>#N/A</v>
      </c>
      <c r="K78" s="322" t="s">
        <v>601</v>
      </c>
    </row>
    <row r="79" spans="1:11" ht="20.399999999999999" x14ac:dyDescent="0.3">
      <c r="A79" s="75" t="s">
        <v>494</v>
      </c>
      <c r="B79" s="302" t="s">
        <v>484</v>
      </c>
      <c r="C79" s="35" t="s">
        <v>549</v>
      </c>
      <c r="D79" s="35" t="s">
        <v>548</v>
      </c>
      <c r="E79" s="35" t="s">
        <v>550</v>
      </c>
      <c r="F79" s="35" t="s">
        <v>551</v>
      </c>
      <c r="G79" s="35" t="s">
        <v>552</v>
      </c>
      <c r="H79" s="35" t="s">
        <v>553</v>
      </c>
      <c r="I79" s="35" t="s">
        <v>554</v>
      </c>
      <c r="J79" s="35" t="s">
        <v>555</v>
      </c>
      <c r="K79" s="322" t="s">
        <v>602</v>
      </c>
    </row>
    <row r="80" spans="1:11" ht="20.399999999999999" x14ac:dyDescent="0.3">
      <c r="A80" s="75" t="s">
        <v>495</v>
      </c>
      <c r="B80" s="302" t="s">
        <v>485</v>
      </c>
      <c r="C80" s="75" t="e">
        <v>#N/A</v>
      </c>
      <c r="K80" s="322" t="s">
        <v>602</v>
      </c>
    </row>
    <row r="81" spans="1:11" ht="20.399999999999999" x14ac:dyDescent="0.3">
      <c r="A81" s="75" t="s">
        <v>496</v>
      </c>
      <c r="B81" s="302" t="s">
        <v>486</v>
      </c>
      <c r="C81" s="35" t="s">
        <v>556</v>
      </c>
      <c r="D81" s="35" t="s">
        <v>548</v>
      </c>
      <c r="E81" s="35" t="s">
        <v>550</v>
      </c>
      <c r="F81" s="35" t="s">
        <v>551</v>
      </c>
      <c r="G81" s="35" t="s">
        <v>552</v>
      </c>
      <c r="H81" s="35" t="s">
        <v>553</v>
      </c>
      <c r="I81" s="35" t="s">
        <v>554</v>
      </c>
      <c r="J81" s="35" t="s">
        <v>555</v>
      </c>
      <c r="K81" s="322" t="s">
        <v>602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8" customWidth="1"/>
    <col min="2" max="2" width="10.44140625" style="128" customWidth="1"/>
    <col min="3" max="3" width="10.88671875" style="128" customWidth="1"/>
    <col min="4" max="4" width="16.44140625" style="128" customWidth="1"/>
    <col min="5" max="5" width="12" style="128" customWidth="1"/>
    <col min="6" max="6" width="16.5546875" style="128" customWidth="1"/>
    <col min="7" max="7" width="9.109375" style="128"/>
    <col min="8" max="8" width="15.44140625" style="128" customWidth="1"/>
    <col min="9" max="9" width="6.6640625" style="128" customWidth="1"/>
    <col min="10" max="10" width="7.44140625" style="128" customWidth="1"/>
    <col min="11" max="12" width="7.109375" style="128" customWidth="1"/>
    <col min="13" max="13" width="20.88671875" style="128" customWidth="1"/>
    <col min="14" max="14" width="12.44140625" style="128" customWidth="1"/>
    <col min="15" max="15" width="44.5546875" style="128" customWidth="1"/>
    <col min="16" max="16384" width="9.109375" style="128"/>
  </cols>
  <sheetData>
    <row r="1" spans="1:15" s="9" customFormat="1" ht="126.75" customHeight="1" thickBot="1" x14ac:dyDescent="0.35">
      <c r="A1" s="284" t="s">
        <v>129</v>
      </c>
      <c r="B1" s="224" t="s">
        <v>731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295" t="s">
        <v>260</v>
      </c>
      <c r="J1" s="295" t="s">
        <v>261</v>
      </c>
      <c r="K1" s="296" t="s">
        <v>322</v>
      </c>
      <c r="L1" s="296" t="s">
        <v>323</v>
      </c>
      <c r="M1" s="130" t="s">
        <v>131</v>
      </c>
      <c r="N1" s="417" t="s">
        <v>744</v>
      </c>
    </row>
    <row r="2" spans="1:15" s="9" customFormat="1" ht="79.5" customHeight="1" x14ac:dyDescent="0.3">
      <c r="A2" s="131"/>
      <c r="B2" s="368"/>
      <c r="C2" s="370"/>
      <c r="D2" s="370"/>
      <c r="E2" s="370"/>
      <c r="F2" s="129"/>
      <c r="G2" s="370"/>
      <c r="H2" s="129"/>
      <c r="I2" s="129"/>
      <c r="J2" s="129"/>
      <c r="K2" s="372"/>
      <c r="L2" s="293"/>
      <c r="M2" s="132"/>
      <c r="N2" s="418" t="str">
        <f>IF(AND(ISNUMBER(E2),ISNUMBER(G2)),"Good",IF(AND(E2="",G2=""),"","Not Quite"))</f>
        <v/>
      </c>
      <c r="O2" s="409"/>
    </row>
    <row r="3" spans="1:15" s="9" customFormat="1" ht="79.5" customHeight="1" x14ac:dyDescent="0.3">
      <c r="A3" s="8"/>
      <c r="B3" s="368"/>
      <c r="C3" s="370"/>
      <c r="D3" s="370"/>
      <c r="E3" s="371"/>
      <c r="F3" s="10"/>
      <c r="G3" s="371"/>
      <c r="H3" s="10"/>
      <c r="I3" s="10"/>
      <c r="J3" s="10"/>
      <c r="K3" s="373"/>
      <c r="L3" s="294"/>
      <c r="M3" s="133"/>
      <c r="N3" s="416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69"/>
      <c r="C4" s="371"/>
      <c r="D4" s="371"/>
      <c r="E4" s="371"/>
      <c r="F4" s="10"/>
      <c r="G4" s="371"/>
      <c r="H4" s="10"/>
      <c r="I4" s="10"/>
      <c r="J4" s="10"/>
      <c r="K4" s="373"/>
      <c r="L4" s="294"/>
      <c r="M4" s="133"/>
      <c r="N4" s="416" t="str">
        <f t="shared" si="0"/>
        <v/>
      </c>
    </row>
    <row r="6" spans="1:15" ht="15.6" x14ac:dyDescent="0.3">
      <c r="D6" s="223" t="s">
        <v>299</v>
      </c>
      <c r="E6" s="289"/>
      <c r="F6" s="288"/>
      <c r="G6" s="288"/>
      <c r="H6" s="288"/>
    </row>
    <row r="7" spans="1:15" x14ac:dyDescent="0.3">
      <c r="E7" s="288"/>
      <c r="F7" s="288"/>
      <c r="G7" s="288"/>
      <c r="H7" s="288"/>
    </row>
    <row r="8" spans="1:15" ht="15.6" x14ac:dyDescent="0.3">
      <c r="D8" s="223" t="s">
        <v>300</v>
      </c>
      <c r="E8" s="289"/>
      <c r="F8" s="288"/>
      <c r="G8" s="288"/>
      <c r="H8" s="288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4" t="s">
        <v>286</v>
      </c>
      <c r="B1" s="69" t="s">
        <v>233</v>
      </c>
      <c r="C1" s="69" t="s">
        <v>193</v>
      </c>
      <c r="D1" s="69" t="s">
        <v>11</v>
      </c>
      <c r="E1" s="69" t="s">
        <v>0</v>
      </c>
      <c r="F1" s="69" t="s">
        <v>14</v>
      </c>
      <c r="G1" s="69" t="s">
        <v>130</v>
      </c>
      <c r="H1" s="136" t="s">
        <v>230</v>
      </c>
      <c r="I1" s="417" t="s">
        <v>744</v>
      </c>
      <c r="J1" s="16"/>
    </row>
    <row r="2" spans="1:10" s="15" customFormat="1" ht="48" customHeight="1" x14ac:dyDescent="0.3">
      <c r="A2" s="137" t="s">
        <v>231</v>
      </c>
      <c r="B2" s="374"/>
      <c r="C2" s="374"/>
      <c r="D2" s="374"/>
      <c r="E2" s="134"/>
      <c r="F2" s="135"/>
      <c r="G2" s="378"/>
      <c r="H2" s="138"/>
      <c r="I2" s="418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8" t="s">
        <v>232</v>
      </c>
      <c r="B3" s="375"/>
      <c r="C3" s="375"/>
      <c r="D3" s="375"/>
      <c r="E3" s="109"/>
      <c r="F3" s="110"/>
      <c r="G3" s="379"/>
      <c r="H3" s="139"/>
      <c r="I3" s="418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75" bestFit="1" customWidth="1"/>
    <col min="2" max="2" width="10.109375" style="75" customWidth="1"/>
    <col min="3" max="3" width="14.33203125" style="75" bestFit="1" customWidth="1"/>
    <col min="4" max="4" width="16.44140625" style="75" bestFit="1" customWidth="1"/>
    <col min="5" max="5" width="19.6640625" style="75" bestFit="1" customWidth="1"/>
    <col min="6" max="6" width="3" style="75" customWidth="1"/>
    <col min="7" max="7" width="34.6640625" style="75" customWidth="1"/>
    <col min="8" max="8" width="9.44140625" style="75" bestFit="1" customWidth="1"/>
    <col min="9" max="9" width="9.109375" style="75"/>
    <col min="10" max="15" width="9.109375" style="75" hidden="1" customWidth="1"/>
    <col min="16" max="16" width="9.109375" style="75" customWidth="1"/>
    <col min="17" max="16384" width="9.109375" style="75"/>
  </cols>
  <sheetData>
    <row r="1" spans="1:14" s="72" customFormat="1" ht="30" customHeight="1" thickBot="1" x14ac:dyDescent="0.35">
      <c r="A1" s="90" t="s">
        <v>194</v>
      </c>
      <c r="B1" s="71" t="s">
        <v>193</v>
      </c>
      <c r="C1" s="71" t="s">
        <v>727</v>
      </c>
      <c r="D1" s="71" t="s">
        <v>728</v>
      </c>
      <c r="E1" s="71" t="s">
        <v>729</v>
      </c>
      <c r="G1" s="90" t="s">
        <v>195</v>
      </c>
      <c r="H1" s="71" t="s">
        <v>193</v>
      </c>
      <c r="K1" s="91"/>
      <c r="L1" s="92"/>
      <c r="M1" s="99"/>
      <c r="N1" s="92"/>
    </row>
    <row r="2" spans="1:14" s="72" customFormat="1" ht="37.5" customHeight="1" x14ac:dyDescent="0.3">
      <c r="A2" s="91" t="s">
        <v>152</v>
      </c>
      <c r="B2" s="92"/>
      <c r="C2" s="92"/>
      <c r="D2" s="92"/>
      <c r="E2" s="92"/>
      <c r="G2" s="99" t="s">
        <v>160</v>
      </c>
      <c r="H2" s="92"/>
      <c r="K2" s="101"/>
      <c r="L2" s="92"/>
      <c r="M2" s="104"/>
      <c r="N2" s="92"/>
    </row>
    <row r="3" spans="1:14" s="72" customFormat="1" ht="37.5" customHeight="1" thickBot="1" x14ac:dyDescent="0.35">
      <c r="A3" s="94" t="s">
        <v>153</v>
      </c>
      <c r="B3" s="95"/>
      <c r="C3" s="95"/>
      <c r="D3" s="95"/>
      <c r="E3" s="95"/>
      <c r="G3" s="100" t="s">
        <v>161</v>
      </c>
      <c r="H3" s="97"/>
      <c r="K3" s="101"/>
      <c r="L3" s="92"/>
      <c r="M3" s="104"/>
      <c r="N3" s="92"/>
    </row>
    <row r="4" spans="1:14" s="72" customFormat="1" ht="37.5" customHeight="1" x14ac:dyDescent="0.3">
      <c r="B4" s="73"/>
      <c r="C4" s="73"/>
      <c r="D4" s="73"/>
      <c r="E4" s="73"/>
      <c r="G4" s="100" t="s">
        <v>162</v>
      </c>
      <c r="H4" s="97"/>
      <c r="K4" s="102"/>
      <c r="L4" s="97"/>
    </row>
    <row r="5" spans="1:14" s="72" customFormat="1" ht="9" customHeight="1" thickBot="1" x14ac:dyDescent="0.35">
      <c r="A5" s="73"/>
      <c r="B5" s="96"/>
      <c r="C5" s="96"/>
      <c r="D5" s="96"/>
      <c r="E5" s="96"/>
      <c r="F5" s="76"/>
      <c r="G5" s="96"/>
      <c r="H5" s="76"/>
      <c r="K5" s="102"/>
      <c r="L5" s="97"/>
    </row>
    <row r="6" spans="1:14" s="72" customFormat="1" ht="30" customHeight="1" thickBot="1" x14ac:dyDescent="0.35">
      <c r="A6" s="90" t="s">
        <v>189</v>
      </c>
      <c r="B6" s="71" t="s">
        <v>193</v>
      </c>
      <c r="C6" s="71" t="s">
        <v>727</v>
      </c>
      <c r="D6" s="399"/>
      <c r="E6" s="399"/>
      <c r="G6" s="90" t="s">
        <v>190</v>
      </c>
      <c r="H6" s="71" t="s">
        <v>193</v>
      </c>
    </row>
    <row r="7" spans="1:14" s="72" customFormat="1" ht="37.5" customHeight="1" x14ac:dyDescent="0.3">
      <c r="A7" s="101" t="s">
        <v>143</v>
      </c>
      <c r="B7" s="92"/>
      <c r="C7" s="92"/>
      <c r="D7" s="73"/>
      <c r="E7" s="73"/>
      <c r="G7" s="104" t="s">
        <v>178</v>
      </c>
      <c r="H7" s="92"/>
    </row>
    <row r="8" spans="1:14" s="72" customFormat="1" ht="37.5" customHeight="1" x14ac:dyDescent="0.3">
      <c r="A8" s="102" t="s">
        <v>144</v>
      </c>
      <c r="B8" s="97"/>
      <c r="C8" s="97"/>
      <c r="D8" s="73"/>
      <c r="E8" s="73"/>
      <c r="G8" s="105" t="s">
        <v>179</v>
      </c>
      <c r="H8" s="97"/>
    </row>
    <row r="9" spans="1:14" s="72" customFormat="1" ht="37.5" customHeight="1" x14ac:dyDescent="0.3">
      <c r="A9" s="102" t="s">
        <v>145</v>
      </c>
      <c r="B9" s="97"/>
      <c r="C9" s="97"/>
      <c r="D9" s="73"/>
      <c r="E9" s="73"/>
      <c r="G9" s="106" t="s">
        <v>180</v>
      </c>
      <c r="H9" s="97"/>
    </row>
    <row r="10" spans="1:14" s="72" customFormat="1" ht="37.5" customHeight="1" x14ac:dyDescent="0.3">
      <c r="A10" s="102" t="s">
        <v>146</v>
      </c>
      <c r="B10" s="97"/>
      <c r="C10" s="97"/>
      <c r="D10" s="73"/>
      <c r="E10" s="73"/>
      <c r="G10" s="106" t="s">
        <v>181</v>
      </c>
      <c r="H10" s="97"/>
    </row>
    <row r="11" spans="1:14" s="72" customFormat="1" ht="37.5" customHeight="1" x14ac:dyDescent="0.3">
      <c r="A11" s="102" t="s">
        <v>147</v>
      </c>
      <c r="B11" s="97"/>
      <c r="C11" s="97"/>
      <c r="D11" s="73"/>
      <c r="E11" s="73"/>
      <c r="G11" s="106" t="s">
        <v>182</v>
      </c>
      <c r="H11" s="97"/>
    </row>
    <row r="12" spans="1:14" s="72" customFormat="1" ht="37.5" customHeight="1" x14ac:dyDescent="0.3">
      <c r="A12" s="102" t="s">
        <v>148</v>
      </c>
      <c r="B12" s="97"/>
      <c r="C12" s="97"/>
      <c r="D12" s="73"/>
      <c r="E12" s="73"/>
      <c r="G12" s="106" t="s">
        <v>183</v>
      </c>
      <c r="H12" s="97"/>
    </row>
    <row r="13" spans="1:14" s="72" customFormat="1" ht="37.5" customHeight="1" x14ac:dyDescent="0.3">
      <c r="A13" s="102" t="s">
        <v>149</v>
      </c>
      <c r="B13" s="97"/>
      <c r="C13" s="97"/>
      <c r="D13" s="73"/>
      <c r="E13" s="73"/>
      <c r="G13" s="106" t="s">
        <v>184</v>
      </c>
      <c r="H13" s="97"/>
    </row>
    <row r="14" spans="1:14" s="72" customFormat="1" ht="37.5" customHeight="1" x14ac:dyDescent="0.3">
      <c r="A14" s="102" t="s">
        <v>150</v>
      </c>
      <c r="B14" s="97"/>
      <c r="C14" s="97"/>
      <c r="D14" s="73"/>
      <c r="E14" s="73"/>
      <c r="G14" s="105" t="s">
        <v>185</v>
      </c>
      <c r="H14" s="97"/>
    </row>
    <row r="15" spans="1:14" s="15" customFormat="1" ht="37.5" customHeight="1" thickBot="1" x14ac:dyDescent="0.35">
      <c r="A15" s="103" t="s">
        <v>151</v>
      </c>
      <c r="B15" s="98"/>
      <c r="C15" s="98"/>
      <c r="D15" s="400"/>
      <c r="E15" s="400"/>
      <c r="G15" s="107" t="s">
        <v>186</v>
      </c>
      <c r="H15" s="98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0" t="s">
        <v>292</v>
      </c>
      <c r="B1" s="71" t="s">
        <v>193</v>
      </c>
      <c r="C1" s="399" t="s">
        <v>727</v>
      </c>
      <c r="E1" s="144"/>
      <c r="F1" s="145"/>
    </row>
    <row r="2" spans="1:6" s="15" customFormat="1" ht="45" customHeight="1" x14ac:dyDescent="0.3">
      <c r="A2" s="140" t="s">
        <v>196</v>
      </c>
      <c r="B2" s="141"/>
      <c r="C2" s="141"/>
      <c r="E2" s="142"/>
      <c r="F2" s="143"/>
    </row>
    <row r="3" spans="1:6" s="15" customFormat="1" ht="45" customHeight="1" x14ac:dyDescent="0.3">
      <c r="A3" s="142" t="s">
        <v>197</v>
      </c>
      <c r="B3" s="143"/>
      <c r="C3" s="143"/>
      <c r="E3" s="144"/>
      <c r="F3" s="145"/>
    </row>
    <row r="4" spans="1:6" s="15" customFormat="1" ht="45" customHeight="1" x14ac:dyDescent="0.3">
      <c r="A4" s="142" t="s">
        <v>198</v>
      </c>
      <c r="B4" s="143"/>
      <c r="C4" s="143"/>
    </row>
    <row r="5" spans="1:6" s="15" customFormat="1" ht="45" customHeight="1" x14ac:dyDescent="0.3">
      <c r="A5" s="142" t="s">
        <v>199</v>
      </c>
      <c r="B5" s="143"/>
      <c r="C5" s="143"/>
    </row>
    <row r="6" spans="1:6" s="15" customFormat="1" ht="45" customHeight="1" x14ac:dyDescent="0.3">
      <c r="A6" s="144" t="s">
        <v>200</v>
      </c>
      <c r="B6" s="145"/>
      <c r="C6" s="145"/>
    </row>
    <row r="7" spans="1:6" s="15" customFormat="1" ht="45" customHeight="1" x14ac:dyDescent="0.3">
      <c r="A7" s="144" t="s">
        <v>201</v>
      </c>
      <c r="B7" s="145"/>
      <c r="C7" s="145"/>
    </row>
    <row r="8" spans="1:6" s="15" customFormat="1" ht="45" customHeight="1" x14ac:dyDescent="0.3">
      <c r="A8" s="144" t="s">
        <v>202</v>
      </c>
      <c r="B8" s="145"/>
      <c r="C8" s="145"/>
    </row>
    <row r="9" spans="1:6" s="15" customFormat="1" ht="45" customHeight="1" thickBot="1" x14ac:dyDescent="0.35">
      <c r="A9" s="146" t="s">
        <v>203</v>
      </c>
      <c r="B9" s="147"/>
      <c r="C9" s="147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01" t="s">
        <v>192</v>
      </c>
      <c r="B1" s="396" t="s">
        <v>193</v>
      </c>
      <c r="C1" s="397" t="s">
        <v>726</v>
      </c>
      <c r="D1" s="53"/>
      <c r="E1" s="25" t="s">
        <v>188</v>
      </c>
      <c r="F1" s="63" t="s">
        <v>193</v>
      </c>
      <c r="I1" s="393"/>
      <c r="J1" s="395"/>
      <c r="K1" s="84"/>
      <c r="L1" s="87"/>
    </row>
    <row r="2" spans="1:29" s="4" customFormat="1" ht="25.5" customHeight="1" x14ac:dyDescent="0.3">
      <c r="A2" s="393" t="s">
        <v>132</v>
      </c>
      <c r="B2" s="395"/>
      <c r="C2" s="398"/>
      <c r="D2" s="48"/>
      <c r="E2" s="285" t="s">
        <v>154</v>
      </c>
      <c r="F2" s="286"/>
      <c r="I2" s="86"/>
      <c r="J2" s="87"/>
      <c r="K2" s="86"/>
      <c r="L2" s="87"/>
      <c r="M2" s="286"/>
      <c r="N2" s="285"/>
      <c r="O2" s="286"/>
      <c r="AC2" s="393"/>
    </row>
    <row r="3" spans="1:29" s="4" customFormat="1" ht="25.5" customHeight="1" x14ac:dyDescent="0.3">
      <c r="A3" s="45" t="s">
        <v>135</v>
      </c>
      <c r="B3" s="390"/>
      <c r="C3" s="87"/>
      <c r="D3" s="48"/>
      <c r="E3" s="84" t="s">
        <v>155</v>
      </c>
      <c r="F3" s="87"/>
      <c r="I3" s="86"/>
      <c r="J3" s="87"/>
      <c r="K3" s="86"/>
      <c r="L3" s="87"/>
      <c r="M3" s="87"/>
      <c r="AC3" s="45"/>
    </row>
    <row r="4" spans="1:29" s="4" customFormat="1" ht="30" customHeight="1" x14ac:dyDescent="0.3">
      <c r="A4" s="45" t="s">
        <v>133</v>
      </c>
      <c r="B4" s="390"/>
      <c r="C4" s="87"/>
      <c r="D4" s="48"/>
      <c r="E4" s="84" t="s">
        <v>156</v>
      </c>
      <c r="F4" s="87"/>
      <c r="I4" s="86"/>
      <c r="J4" s="87"/>
      <c r="K4" s="86"/>
      <c r="L4" s="87"/>
      <c r="M4" s="87"/>
      <c r="AC4" s="45"/>
    </row>
    <row r="5" spans="1:29" s="4" customFormat="1" ht="30" customHeight="1" x14ac:dyDescent="0.3">
      <c r="A5" s="45" t="s">
        <v>134</v>
      </c>
      <c r="B5" s="390"/>
      <c r="C5" s="87"/>
      <c r="D5" s="49"/>
      <c r="E5" s="84" t="s">
        <v>157</v>
      </c>
      <c r="F5" s="87"/>
      <c r="AC5" s="45"/>
    </row>
    <row r="6" spans="1:29" s="4" customFormat="1" ht="30" customHeight="1" x14ac:dyDescent="0.3">
      <c r="A6" s="45" t="s">
        <v>136</v>
      </c>
      <c r="B6" s="390"/>
      <c r="C6" s="87"/>
      <c r="D6" s="49"/>
      <c r="E6" s="84" t="s">
        <v>158</v>
      </c>
      <c r="F6" s="87"/>
      <c r="AC6" s="45"/>
    </row>
    <row r="7" spans="1:29" s="4" customFormat="1" ht="30" customHeight="1" x14ac:dyDescent="0.3">
      <c r="A7" s="45" t="s">
        <v>137</v>
      </c>
      <c r="B7" s="391"/>
      <c r="C7" s="88"/>
      <c r="D7" s="49"/>
      <c r="E7" s="84" t="s">
        <v>159</v>
      </c>
      <c r="F7" s="88"/>
      <c r="AC7" s="45"/>
    </row>
    <row r="8" spans="1:29" s="4" customFormat="1" ht="30" customHeight="1" x14ac:dyDescent="0.3">
      <c r="A8" s="45" t="s">
        <v>138</v>
      </c>
      <c r="B8" s="390"/>
      <c r="C8" s="87"/>
      <c r="D8" s="49"/>
      <c r="E8" s="84" t="s">
        <v>163</v>
      </c>
      <c r="F8" s="87"/>
      <c r="AC8" s="45"/>
    </row>
    <row r="9" spans="1:29" s="4" customFormat="1" ht="30" customHeight="1" x14ac:dyDescent="0.3">
      <c r="A9" s="45" t="s">
        <v>139</v>
      </c>
      <c r="B9" s="390"/>
      <c r="C9" s="87"/>
      <c r="D9" s="49"/>
      <c r="E9" s="84" t="s">
        <v>164</v>
      </c>
      <c r="F9" s="88"/>
      <c r="AC9" s="45"/>
    </row>
    <row r="10" spans="1:29" s="4" customFormat="1" ht="30" customHeight="1" x14ac:dyDescent="0.3">
      <c r="A10" s="28" t="s">
        <v>140</v>
      </c>
      <c r="B10" s="390"/>
      <c r="C10" s="87"/>
      <c r="D10" s="49"/>
      <c r="E10" s="84" t="s">
        <v>165</v>
      </c>
      <c r="F10" s="88"/>
      <c r="AC10" s="28"/>
    </row>
    <row r="11" spans="1:29" s="4" customFormat="1" ht="30" customHeight="1" x14ac:dyDescent="0.3">
      <c r="A11" s="45" t="s">
        <v>141</v>
      </c>
      <c r="B11" s="390"/>
      <c r="C11" s="87"/>
      <c r="D11" s="49"/>
      <c r="E11" s="84" t="s">
        <v>166</v>
      </c>
      <c r="F11" s="88"/>
      <c r="AC11" s="45"/>
    </row>
    <row r="12" spans="1:29" s="4" customFormat="1" ht="35.25" customHeight="1" thickBot="1" x14ac:dyDescent="0.35">
      <c r="A12" s="394" t="s">
        <v>142</v>
      </c>
      <c r="B12" s="392"/>
      <c r="C12" s="287"/>
      <c r="D12" s="49"/>
      <c r="E12" s="84" t="s">
        <v>167</v>
      </c>
      <c r="F12" s="88"/>
      <c r="AC12" s="394"/>
    </row>
    <row r="13" spans="1:29" s="4" customFormat="1" ht="35.25" customHeight="1" x14ac:dyDescent="0.3">
      <c r="A13" s="7"/>
      <c r="B13" s="47"/>
      <c r="C13" s="47"/>
      <c r="D13" s="49"/>
      <c r="E13" s="84" t="s">
        <v>168</v>
      </c>
      <c r="F13" s="88"/>
    </row>
    <row r="14" spans="1:29" s="4" customFormat="1" ht="35.25" customHeight="1" x14ac:dyDescent="0.3">
      <c r="A14" s="7"/>
      <c r="B14" s="47"/>
      <c r="C14" s="47"/>
      <c r="D14" s="49"/>
      <c r="E14" s="84" t="s">
        <v>169</v>
      </c>
      <c r="F14" s="88"/>
    </row>
    <row r="15" spans="1:29" s="4" customFormat="1" ht="35.25" customHeight="1" x14ac:dyDescent="0.3">
      <c r="A15" s="7"/>
      <c r="B15" s="47"/>
      <c r="C15" s="47"/>
      <c r="D15" s="49"/>
      <c r="E15" s="84" t="s">
        <v>170</v>
      </c>
      <c r="F15" s="88"/>
    </row>
    <row r="16" spans="1:29" s="4" customFormat="1" ht="35.25" customHeight="1" x14ac:dyDescent="0.3">
      <c r="A16" s="7"/>
      <c r="B16" s="47"/>
      <c r="C16" s="47"/>
      <c r="D16" s="49"/>
      <c r="E16" s="84" t="s">
        <v>171</v>
      </c>
      <c r="F16" s="88"/>
    </row>
    <row r="17" spans="1:6" s="4" customFormat="1" ht="35.25" customHeight="1" x14ac:dyDescent="0.3">
      <c r="A17" s="7"/>
      <c r="B17" s="47"/>
      <c r="C17" s="47"/>
      <c r="D17" s="49"/>
      <c r="E17" s="84" t="s">
        <v>172</v>
      </c>
      <c r="F17" s="88"/>
    </row>
    <row r="18" spans="1:6" s="4" customFormat="1" ht="35.25" customHeight="1" x14ac:dyDescent="0.3">
      <c r="A18" s="7"/>
      <c r="B18" s="7"/>
      <c r="C18" s="7"/>
      <c r="D18" s="49"/>
      <c r="E18" s="84" t="s">
        <v>173</v>
      </c>
      <c r="F18" s="88"/>
    </row>
    <row r="19" spans="1:6" s="4" customFormat="1" ht="35.25" customHeight="1" x14ac:dyDescent="0.3">
      <c r="A19" s="7"/>
      <c r="B19" s="7"/>
      <c r="C19" s="7"/>
      <c r="D19" s="49"/>
      <c r="E19" s="84" t="s">
        <v>174</v>
      </c>
      <c r="F19" s="88"/>
    </row>
    <row r="20" spans="1:6" s="4" customFormat="1" ht="35.25" customHeight="1" x14ac:dyDescent="0.3">
      <c r="A20" s="7"/>
      <c r="B20" s="7"/>
      <c r="C20" s="7"/>
      <c r="D20" s="49"/>
      <c r="E20" s="84" t="s">
        <v>175</v>
      </c>
      <c r="F20" s="88"/>
    </row>
    <row r="21" spans="1:6" s="4" customFormat="1" ht="35.25" customHeight="1" x14ac:dyDescent="0.3">
      <c r="A21" s="7"/>
      <c r="B21" s="7"/>
      <c r="C21" s="7"/>
      <c r="D21" s="49"/>
      <c r="E21" s="84" t="s">
        <v>176</v>
      </c>
      <c r="F21" s="88"/>
    </row>
    <row r="22" spans="1:6" s="4" customFormat="1" ht="35.25" customHeight="1" thickBot="1" x14ac:dyDescent="0.35">
      <c r="A22" s="7"/>
      <c r="B22" s="7"/>
      <c r="C22" s="7"/>
      <c r="D22" s="49"/>
      <c r="E22" s="85" t="s">
        <v>177</v>
      </c>
      <c r="F22" s="89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0" t="s">
        <v>228</v>
      </c>
      <c r="B1" s="27" t="s">
        <v>10</v>
      </c>
      <c r="C1" s="37" t="s">
        <v>193</v>
      </c>
      <c r="D1" s="291" t="s">
        <v>262</v>
      </c>
      <c r="E1" s="37" t="s">
        <v>229</v>
      </c>
      <c r="F1" s="26" t="s">
        <v>285</v>
      </c>
      <c r="G1" s="292" t="s">
        <v>230</v>
      </c>
    </row>
    <row r="2" spans="1:7" s="2" customFormat="1" ht="27" customHeight="1" x14ac:dyDescent="0.3">
      <c r="A2" s="77" t="s">
        <v>204</v>
      </c>
      <c r="B2" s="33"/>
      <c r="C2" s="33"/>
      <c r="D2" s="33"/>
      <c r="E2" s="78"/>
      <c r="F2" s="33"/>
      <c r="G2" s="79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290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290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290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290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290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290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290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290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290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290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290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290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290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90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290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290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290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290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290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290"/>
      <c r="E25" s="13"/>
      <c r="F25" s="54"/>
      <c r="G25" s="55"/>
    </row>
    <row r="26" spans="1:7" s="2" customFormat="1" ht="27" customHeight="1" thickBot="1" x14ac:dyDescent="0.35">
      <c r="A26" s="81" t="s">
        <v>227</v>
      </c>
      <c r="B26" s="31"/>
      <c r="C26" s="31"/>
      <c r="D26" s="31"/>
      <c r="E26" s="82"/>
      <c r="F26" s="83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25" bestFit="1" customWidth="1"/>
    <col min="2" max="2" width="13.6640625" style="125" customWidth="1"/>
    <col min="3" max="3" width="21.88671875" style="125" customWidth="1"/>
    <col min="4" max="4" width="35.5546875" style="125" customWidth="1"/>
    <col min="5" max="16384" width="9.109375" style="125"/>
  </cols>
  <sheetData>
    <row r="1" spans="1:4" s="74" customFormat="1" ht="36.75" customHeight="1" thickBot="1" x14ac:dyDescent="0.3">
      <c r="A1" s="114" t="s">
        <v>287</v>
      </c>
      <c r="B1" s="70" t="s">
        <v>193</v>
      </c>
      <c r="C1" s="70" t="s">
        <v>240</v>
      </c>
      <c r="D1" s="71" t="s">
        <v>241</v>
      </c>
    </row>
    <row r="2" spans="1:4" s="74" customFormat="1" ht="39" customHeight="1" x14ac:dyDescent="0.25">
      <c r="A2" s="115" t="s">
        <v>236</v>
      </c>
      <c r="B2" s="119"/>
      <c r="C2" s="119"/>
      <c r="D2" s="120"/>
    </row>
    <row r="3" spans="1:4" s="74" customFormat="1" ht="39" customHeight="1" x14ac:dyDescent="0.25">
      <c r="A3" s="116" t="s">
        <v>237</v>
      </c>
      <c r="B3" s="121"/>
      <c r="C3" s="121"/>
      <c r="D3" s="122"/>
    </row>
    <row r="4" spans="1:4" s="74" customFormat="1" ht="39" customHeight="1" x14ac:dyDescent="0.25">
      <c r="A4" s="117" t="s">
        <v>238</v>
      </c>
      <c r="B4" s="113"/>
      <c r="C4" s="113"/>
      <c r="D4" s="123"/>
    </row>
    <row r="5" spans="1:4" s="74" customFormat="1" ht="39" customHeight="1" x14ac:dyDescent="0.25">
      <c r="A5" s="117" t="s">
        <v>239</v>
      </c>
      <c r="B5" s="113"/>
      <c r="C5" s="113"/>
      <c r="D5" s="123"/>
    </row>
    <row r="6" spans="1:4" s="74" customFormat="1" ht="39" customHeight="1" thickBot="1" x14ac:dyDescent="0.3">
      <c r="A6" s="127" t="s">
        <v>288</v>
      </c>
      <c r="B6" s="109"/>
      <c r="C6" s="109"/>
      <c r="D6" s="124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4" t="s">
        <v>293</v>
      </c>
      <c r="B1" s="70" t="s">
        <v>193</v>
      </c>
      <c r="C1" s="69" t="s">
        <v>294</v>
      </c>
      <c r="D1" s="69" t="s">
        <v>130</v>
      </c>
      <c r="E1" s="136" t="s">
        <v>230</v>
      </c>
      <c r="F1" s="419"/>
      <c r="G1" s="16"/>
    </row>
    <row r="2" spans="1:7" s="15" customFormat="1" ht="28.5" customHeight="1" x14ac:dyDescent="0.3">
      <c r="A2" s="149" t="s">
        <v>234</v>
      </c>
      <c r="B2" s="376"/>
      <c r="C2" s="148"/>
      <c r="D2" s="148"/>
      <c r="E2" s="93"/>
      <c r="F2" s="112"/>
      <c r="G2" s="16"/>
    </row>
    <row r="3" spans="1:7" s="15" customFormat="1" ht="25.5" customHeight="1" x14ac:dyDescent="0.3">
      <c r="A3" s="117" t="s">
        <v>12</v>
      </c>
      <c r="B3" s="377"/>
      <c r="C3" s="111"/>
      <c r="D3" s="111"/>
      <c r="E3" s="118"/>
      <c r="F3" s="112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26" t="s">
        <v>242</v>
      </c>
      <c r="B1" s="26" t="s">
        <v>255</v>
      </c>
      <c r="C1" s="63" t="s">
        <v>256</v>
      </c>
    </row>
    <row r="2" spans="1:3" ht="25.5" customHeight="1" x14ac:dyDescent="0.3">
      <c r="A2" s="150" t="s">
        <v>243</v>
      </c>
      <c r="B2" s="33"/>
      <c r="C2" s="34"/>
    </row>
    <row r="3" spans="1:3" ht="25.5" customHeight="1" x14ac:dyDescent="0.3">
      <c r="A3" s="151" t="s">
        <v>244</v>
      </c>
      <c r="B3" s="35"/>
      <c r="C3" s="36"/>
    </row>
    <row r="4" spans="1:3" ht="25.5" customHeight="1" x14ac:dyDescent="0.3">
      <c r="A4" s="151" t="s">
        <v>245</v>
      </c>
      <c r="B4" s="35"/>
      <c r="C4" s="36"/>
    </row>
    <row r="5" spans="1:3" ht="25.5" customHeight="1" x14ac:dyDescent="0.3">
      <c r="A5" s="151" t="s">
        <v>246</v>
      </c>
      <c r="B5" s="35"/>
      <c r="C5" s="36"/>
    </row>
    <row r="6" spans="1:3" ht="25.5" customHeight="1" x14ac:dyDescent="0.3">
      <c r="A6" s="151" t="s">
        <v>247</v>
      </c>
      <c r="B6" s="35"/>
      <c r="C6" s="36"/>
    </row>
    <row r="7" spans="1:3" ht="25.5" customHeight="1" x14ac:dyDescent="0.3">
      <c r="A7" s="151" t="s">
        <v>248</v>
      </c>
      <c r="B7" s="35"/>
      <c r="C7" s="36"/>
    </row>
    <row r="8" spans="1:3" ht="25.5" customHeight="1" x14ac:dyDescent="0.3">
      <c r="A8" s="151" t="s">
        <v>249</v>
      </c>
      <c r="B8" s="35"/>
      <c r="C8" s="36"/>
    </row>
    <row r="9" spans="1:3" ht="25.5" customHeight="1" x14ac:dyDescent="0.3">
      <c r="A9" s="151" t="s">
        <v>250</v>
      </c>
      <c r="B9" s="35"/>
      <c r="C9" s="36"/>
    </row>
    <row r="10" spans="1:3" ht="25.5" customHeight="1" x14ac:dyDescent="0.3">
      <c r="A10" s="151" t="s">
        <v>251</v>
      </c>
      <c r="B10" s="14"/>
      <c r="C10" s="36"/>
    </row>
    <row r="11" spans="1:3" ht="25.5" customHeight="1" x14ac:dyDescent="0.3">
      <c r="A11" s="151" t="s">
        <v>252</v>
      </c>
      <c r="B11" s="14"/>
      <c r="C11" s="36"/>
    </row>
    <row r="12" spans="1:3" ht="25.5" customHeight="1" x14ac:dyDescent="0.3">
      <c r="A12" s="151" t="s">
        <v>253</v>
      </c>
      <c r="B12" s="38"/>
      <c r="C12" s="36"/>
    </row>
    <row r="13" spans="1:3" ht="25.5" customHeight="1" x14ac:dyDescent="0.3">
      <c r="A13" s="151" t="s">
        <v>254</v>
      </c>
      <c r="B13" s="38"/>
      <c r="C13" s="36"/>
    </row>
    <row r="14" spans="1:3" ht="25.5" customHeight="1" thickBot="1" x14ac:dyDescent="0.35">
      <c r="A14" s="152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4"/>
      <c r="B1" s="435"/>
      <c r="D1" s="156"/>
      <c r="E1" s="155"/>
    </row>
    <row r="2" spans="1:5" s="18" customFormat="1" ht="37.5" customHeight="1" x14ac:dyDescent="0.35">
      <c r="A2" s="153"/>
      <c r="B2" s="154" t="s">
        <v>58</v>
      </c>
      <c r="D2" s="156"/>
      <c r="E2" s="155"/>
    </row>
    <row r="3" spans="1:5" s="18" customFormat="1" ht="37.5" customHeight="1" thickBot="1" x14ac:dyDescent="0.4">
      <c r="A3" s="155"/>
      <c r="B3" s="156" t="s">
        <v>59</v>
      </c>
      <c r="D3" s="158"/>
      <c r="E3" s="157"/>
    </row>
    <row r="4" spans="1:5" s="18" customFormat="1" ht="37.5" customHeight="1" x14ac:dyDescent="0.35">
      <c r="A4" s="155"/>
      <c r="B4" s="156" t="s">
        <v>60</v>
      </c>
    </row>
    <row r="5" spans="1:5" s="18" customFormat="1" ht="37.5" customHeight="1" x14ac:dyDescent="0.35">
      <c r="A5" s="155"/>
      <c r="B5" s="156" t="s">
        <v>61</v>
      </c>
    </row>
    <row r="6" spans="1:5" s="18" customFormat="1" ht="37.5" customHeight="1" x14ac:dyDescent="0.35">
      <c r="A6" s="155"/>
      <c r="B6" s="156" t="s">
        <v>62</v>
      </c>
    </row>
    <row r="7" spans="1:5" s="18" customFormat="1" ht="37.5" customHeight="1" x14ac:dyDescent="0.35">
      <c r="A7" s="155"/>
      <c r="B7" s="156" t="s">
        <v>63</v>
      </c>
    </row>
    <row r="8" spans="1:5" s="18" customFormat="1" ht="37.5" customHeight="1" x14ac:dyDescent="0.35">
      <c r="A8" s="155"/>
      <c r="B8" s="156" t="s">
        <v>64</v>
      </c>
    </row>
    <row r="9" spans="1:5" s="18" customFormat="1" ht="37.5" customHeight="1" x14ac:dyDescent="0.35">
      <c r="A9" s="155"/>
      <c r="B9" s="156" t="s">
        <v>65</v>
      </c>
    </row>
    <row r="10" spans="1:5" s="18" customFormat="1" ht="37.5" customHeight="1" x14ac:dyDescent="0.35">
      <c r="A10" s="155"/>
      <c r="B10" s="156" t="s">
        <v>66</v>
      </c>
    </row>
    <row r="11" spans="1:5" s="18" customFormat="1" ht="37.5" customHeight="1" x14ac:dyDescent="0.35">
      <c r="A11" s="155"/>
      <c r="B11" s="156" t="s">
        <v>67</v>
      </c>
    </row>
    <row r="12" spans="1:5" s="18" customFormat="1" ht="37.5" customHeight="1" x14ac:dyDescent="0.35">
      <c r="A12" s="155"/>
      <c r="B12" s="156" t="s">
        <v>68</v>
      </c>
    </row>
    <row r="13" spans="1:5" s="18" customFormat="1" ht="37.5" customHeight="1" x14ac:dyDescent="0.35">
      <c r="A13" s="155"/>
      <c r="B13" s="156" t="s">
        <v>69</v>
      </c>
    </row>
    <row r="14" spans="1:5" s="18" customFormat="1" ht="37.5" customHeight="1" x14ac:dyDescent="0.35">
      <c r="A14" s="155"/>
      <c r="B14" s="156" t="s">
        <v>70</v>
      </c>
    </row>
    <row r="15" spans="1:5" s="18" customFormat="1" ht="37.5" customHeight="1" x14ac:dyDescent="0.35">
      <c r="A15" s="155"/>
      <c r="B15" s="156" t="s">
        <v>71</v>
      </c>
    </row>
    <row r="16" spans="1:5" s="18" customFormat="1" ht="37.5" customHeight="1" x14ac:dyDescent="0.35">
      <c r="A16" s="155"/>
      <c r="B16" s="156" t="s">
        <v>72</v>
      </c>
    </row>
    <row r="17" spans="1:2" s="18" customFormat="1" ht="37.5" customHeight="1" x14ac:dyDescent="0.35">
      <c r="A17" s="155"/>
      <c r="B17" s="156" t="s">
        <v>73</v>
      </c>
    </row>
    <row r="18" spans="1:2" s="18" customFormat="1" ht="37.5" customHeight="1" x14ac:dyDescent="0.35">
      <c r="A18" s="155"/>
      <c r="B18" s="156" t="s">
        <v>74</v>
      </c>
    </row>
    <row r="19" spans="1:2" s="18" customFormat="1" ht="37.5" customHeight="1" x14ac:dyDescent="0.35">
      <c r="A19" s="155"/>
      <c r="B19" s="156" t="s">
        <v>75</v>
      </c>
    </row>
    <row r="20" spans="1:2" s="18" customFormat="1" ht="37.5" customHeight="1" x14ac:dyDescent="0.35">
      <c r="A20" s="155"/>
      <c r="B20" s="156" t="s">
        <v>76</v>
      </c>
    </row>
    <row r="21" spans="1:2" s="18" customFormat="1" ht="37.5" customHeight="1" x14ac:dyDescent="0.35">
      <c r="A21" s="155"/>
      <c r="B21" s="156" t="s">
        <v>77</v>
      </c>
    </row>
    <row r="22" spans="1:2" s="18" customFormat="1" ht="37.5" customHeight="1" x14ac:dyDescent="0.35">
      <c r="A22" s="155"/>
      <c r="B22" s="156" t="s">
        <v>78</v>
      </c>
    </row>
    <row r="23" spans="1:2" s="18" customFormat="1" ht="37.5" customHeight="1" thickBot="1" x14ac:dyDescent="0.4">
      <c r="A23" s="157"/>
      <c r="B23" s="158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53" t="s">
        <v>34</v>
      </c>
      <c r="B1" s="454"/>
      <c r="C1" s="17"/>
      <c r="D1" s="160"/>
      <c r="E1" s="155"/>
      <c r="I1" s="154" t="s">
        <v>19</v>
      </c>
      <c r="J1" s="448" t="s">
        <v>19</v>
      </c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  <c r="V1" s="449"/>
      <c r="W1" s="449"/>
    </row>
    <row r="2" spans="1:23" s="18" customFormat="1" ht="35.25" customHeight="1" x14ac:dyDescent="0.35">
      <c r="A2" s="153"/>
      <c r="B2" s="154" t="s">
        <v>19</v>
      </c>
      <c r="C2" s="17"/>
      <c r="D2" s="156"/>
      <c r="E2" s="155"/>
      <c r="I2" s="156" t="s">
        <v>20</v>
      </c>
      <c r="J2" s="448" t="s">
        <v>20</v>
      </c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49"/>
      <c r="V2" s="449"/>
      <c r="W2" s="449"/>
    </row>
    <row r="3" spans="1:23" s="18" customFormat="1" ht="35.25" customHeight="1" x14ac:dyDescent="0.35">
      <c r="A3" s="155"/>
      <c r="B3" s="156" t="s">
        <v>20</v>
      </c>
      <c r="C3" s="17"/>
      <c r="D3" s="167"/>
      <c r="E3" s="155"/>
      <c r="I3" s="160" t="s">
        <v>187</v>
      </c>
      <c r="J3" s="447" t="s">
        <v>629</v>
      </c>
      <c r="K3" s="447"/>
      <c r="L3" s="447"/>
      <c r="M3" s="447"/>
      <c r="N3" s="447"/>
      <c r="O3" s="447"/>
      <c r="P3" s="447"/>
      <c r="Q3" s="447"/>
      <c r="R3" s="447"/>
      <c r="S3" s="447"/>
      <c r="T3" s="447"/>
      <c r="U3" s="447"/>
      <c r="V3" s="447"/>
      <c r="W3" s="447"/>
    </row>
    <row r="4" spans="1:23" s="18" customFormat="1" ht="35.25" customHeight="1" x14ac:dyDescent="0.35">
      <c r="A4" s="155"/>
      <c r="B4" s="160" t="s">
        <v>187</v>
      </c>
      <c r="C4" s="17"/>
      <c r="D4" s="156"/>
      <c r="E4" s="151"/>
      <c r="I4" s="160" t="s">
        <v>21</v>
      </c>
      <c r="J4" s="450" t="s">
        <v>21</v>
      </c>
      <c r="K4" s="440"/>
      <c r="L4" s="440"/>
      <c r="M4" s="440"/>
      <c r="N4" s="440"/>
      <c r="O4" s="440"/>
      <c r="P4" s="440"/>
      <c r="Q4" s="440"/>
      <c r="R4" s="440"/>
      <c r="S4" s="440"/>
      <c r="T4" s="440"/>
      <c r="U4" s="440"/>
      <c r="V4" s="440"/>
      <c r="W4" s="441"/>
    </row>
    <row r="5" spans="1:23" s="18" customFormat="1" ht="35.25" customHeight="1" x14ac:dyDescent="0.35">
      <c r="A5" s="155"/>
      <c r="B5" s="160" t="s">
        <v>21</v>
      </c>
      <c r="C5" s="17"/>
      <c r="D5" s="156"/>
      <c r="E5" s="155"/>
      <c r="I5" s="160" t="s">
        <v>22</v>
      </c>
      <c r="J5" s="450" t="s">
        <v>22</v>
      </c>
      <c r="K5" s="440"/>
      <c r="L5" s="440"/>
      <c r="M5" s="440"/>
      <c r="N5" s="440"/>
      <c r="O5" s="440"/>
      <c r="P5" s="440"/>
      <c r="Q5" s="440"/>
      <c r="R5" s="440"/>
      <c r="S5" s="440"/>
      <c r="T5" s="440"/>
      <c r="U5" s="440"/>
      <c r="V5" s="440"/>
      <c r="W5" s="441"/>
    </row>
    <row r="6" spans="1:23" s="18" customFormat="1" ht="35.25" customHeight="1" x14ac:dyDescent="0.35">
      <c r="A6" s="155"/>
      <c r="B6" s="160" t="s">
        <v>22</v>
      </c>
      <c r="C6" s="17"/>
      <c r="D6" s="165"/>
      <c r="E6" s="155"/>
      <c r="I6" s="160" t="s">
        <v>23</v>
      </c>
      <c r="J6" s="445" t="s">
        <v>630</v>
      </c>
      <c r="K6" s="446"/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</row>
    <row r="7" spans="1:23" s="18" customFormat="1" ht="35.25" customHeight="1" thickBot="1" x14ac:dyDescent="0.4">
      <c r="A7" s="155"/>
      <c r="B7" s="160" t="s">
        <v>23</v>
      </c>
      <c r="C7" s="17"/>
      <c r="D7" s="167"/>
      <c r="E7" s="155"/>
      <c r="I7" s="161" t="s">
        <v>24</v>
      </c>
      <c r="J7" s="447" t="s">
        <v>631</v>
      </c>
      <c r="K7" s="447"/>
      <c r="L7" s="447"/>
      <c r="M7" s="447"/>
      <c r="N7" s="447"/>
      <c r="O7" s="447"/>
      <c r="P7" s="447"/>
      <c r="Q7" s="447"/>
      <c r="R7" s="447"/>
      <c r="S7" s="447"/>
      <c r="T7" s="447"/>
      <c r="U7" s="447"/>
      <c r="V7" s="447"/>
      <c r="W7" s="447"/>
    </row>
    <row r="8" spans="1:23" s="18" customFormat="1" ht="35.25" customHeight="1" thickBot="1" x14ac:dyDescent="0.4">
      <c r="A8" s="157"/>
      <c r="B8" s="161" t="s">
        <v>24</v>
      </c>
      <c r="C8" s="17"/>
      <c r="D8" s="156"/>
      <c r="E8" s="151"/>
      <c r="I8" s="163" t="s">
        <v>25</v>
      </c>
      <c r="J8" s="439" t="s">
        <v>632</v>
      </c>
      <c r="K8" s="440"/>
      <c r="L8" s="440"/>
      <c r="M8" s="440"/>
      <c r="N8" s="440"/>
      <c r="O8" s="440"/>
      <c r="P8" s="440"/>
      <c r="Q8" s="440"/>
      <c r="R8" s="440"/>
      <c r="S8" s="440"/>
      <c r="T8" s="440"/>
      <c r="U8" s="440"/>
      <c r="V8" s="440"/>
      <c r="W8" s="441"/>
    </row>
    <row r="9" spans="1:23" s="20" customFormat="1" ht="29.25" customHeight="1" thickBot="1" x14ac:dyDescent="0.35">
      <c r="A9" s="162" t="s">
        <v>35</v>
      </c>
      <c r="B9" s="159"/>
      <c r="C9" s="17"/>
      <c r="D9" s="156"/>
      <c r="E9" s="155"/>
      <c r="I9" s="164" t="s">
        <v>26</v>
      </c>
      <c r="J9" s="439" t="s">
        <v>633</v>
      </c>
      <c r="K9" s="440"/>
      <c r="L9" s="440"/>
      <c r="M9" s="440"/>
      <c r="N9" s="440"/>
      <c r="O9" s="440"/>
      <c r="P9" s="440"/>
      <c r="Q9" s="440"/>
      <c r="R9" s="440"/>
      <c r="S9" s="440"/>
      <c r="T9" s="440"/>
      <c r="U9" s="440"/>
      <c r="V9" s="440"/>
      <c r="W9" s="441"/>
    </row>
    <row r="10" spans="1:23" s="20" customFormat="1" ht="51" customHeight="1" x14ac:dyDescent="0.3">
      <c r="A10" s="155"/>
      <c r="B10" s="163" t="s">
        <v>25</v>
      </c>
      <c r="C10" s="17"/>
      <c r="I10" s="156" t="s">
        <v>27</v>
      </c>
      <c r="J10" s="436" t="s">
        <v>634</v>
      </c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7"/>
      <c r="W10" s="438"/>
    </row>
    <row r="11" spans="1:23" s="20" customFormat="1" ht="51" customHeight="1" x14ac:dyDescent="0.3">
      <c r="A11" s="155"/>
      <c r="B11" s="164" t="s">
        <v>26</v>
      </c>
      <c r="C11" s="17"/>
      <c r="I11" s="156" t="s">
        <v>33</v>
      </c>
      <c r="J11" s="436" t="s">
        <v>635</v>
      </c>
      <c r="K11" s="437"/>
      <c r="L11" s="437"/>
      <c r="M11" s="437"/>
      <c r="N11" s="437"/>
      <c r="O11" s="437"/>
      <c r="P11" s="437"/>
      <c r="Q11" s="437"/>
      <c r="R11" s="437"/>
      <c r="S11" s="437"/>
      <c r="T11" s="437"/>
      <c r="U11" s="437"/>
      <c r="V11" s="437"/>
      <c r="W11" s="438"/>
    </row>
    <row r="12" spans="1:23" s="20" customFormat="1" ht="51" customHeight="1" x14ac:dyDescent="0.3">
      <c r="A12" s="151"/>
      <c r="B12" s="156" t="s">
        <v>27</v>
      </c>
      <c r="C12" s="17"/>
      <c r="I12" s="156" t="s">
        <v>28</v>
      </c>
      <c r="J12" s="436" t="s">
        <v>636</v>
      </c>
      <c r="K12" s="437"/>
      <c r="L12" s="437"/>
      <c r="M12" s="437"/>
      <c r="N12" s="437"/>
      <c r="O12" s="437"/>
      <c r="P12" s="437"/>
      <c r="Q12" s="437"/>
      <c r="R12" s="437"/>
      <c r="S12" s="437"/>
      <c r="T12" s="437"/>
      <c r="U12" s="437"/>
      <c r="V12" s="437"/>
      <c r="W12" s="438"/>
    </row>
    <row r="13" spans="1:23" s="20" customFormat="1" ht="51" customHeight="1" x14ac:dyDescent="0.3">
      <c r="A13" s="155"/>
      <c r="B13" s="156" t="s">
        <v>33</v>
      </c>
      <c r="C13" s="17"/>
      <c r="I13" s="165" t="s">
        <v>29</v>
      </c>
      <c r="J13" s="439" t="s">
        <v>637</v>
      </c>
      <c r="K13" s="440"/>
      <c r="L13" s="440"/>
      <c r="M13" s="440"/>
      <c r="N13" s="440"/>
      <c r="O13" s="440"/>
      <c r="P13" s="440"/>
      <c r="Q13" s="440"/>
      <c r="R13" s="440"/>
      <c r="S13" s="440"/>
      <c r="T13" s="440"/>
      <c r="U13" s="440"/>
      <c r="V13" s="440"/>
      <c r="W13" s="441"/>
    </row>
    <row r="14" spans="1:23" s="18" customFormat="1" ht="51" customHeight="1" x14ac:dyDescent="0.35">
      <c r="A14" s="155"/>
      <c r="B14" s="156" t="s">
        <v>28</v>
      </c>
      <c r="C14" s="17"/>
      <c r="D14" s="19"/>
      <c r="I14" s="166" t="s">
        <v>30</v>
      </c>
      <c r="J14" s="436" t="s">
        <v>638</v>
      </c>
      <c r="K14" s="437"/>
      <c r="L14" s="437"/>
      <c r="M14" s="437"/>
      <c r="N14" s="437"/>
      <c r="O14" s="437"/>
      <c r="P14" s="437"/>
      <c r="Q14" s="437"/>
      <c r="R14" s="437"/>
      <c r="S14" s="437"/>
      <c r="T14" s="437"/>
      <c r="U14" s="437"/>
      <c r="V14" s="437"/>
      <c r="W14" s="438"/>
    </row>
    <row r="15" spans="1:23" s="18" customFormat="1" ht="51" customHeight="1" x14ac:dyDescent="0.35">
      <c r="A15" s="155"/>
      <c r="B15" s="165" t="s">
        <v>29</v>
      </c>
      <c r="C15" s="17"/>
      <c r="D15" s="19"/>
      <c r="I15" s="167" t="s">
        <v>38</v>
      </c>
      <c r="J15" s="442" t="s">
        <v>639</v>
      </c>
      <c r="K15" s="443"/>
      <c r="L15" s="443"/>
      <c r="M15" s="443"/>
      <c r="N15" s="443"/>
      <c r="O15" s="443"/>
      <c r="P15" s="443"/>
      <c r="Q15" s="443"/>
      <c r="R15" s="443"/>
      <c r="S15" s="443"/>
      <c r="T15" s="443"/>
      <c r="U15" s="443"/>
      <c r="V15" s="443"/>
      <c r="W15" s="444"/>
    </row>
    <row r="16" spans="1:23" s="18" customFormat="1" ht="51" customHeight="1" x14ac:dyDescent="0.35">
      <c r="A16" s="155"/>
      <c r="B16" s="166" t="s">
        <v>30</v>
      </c>
      <c r="C16" s="21"/>
      <c r="D16" s="19"/>
      <c r="I16" s="167" t="s">
        <v>36</v>
      </c>
      <c r="J16" s="439" t="s">
        <v>640</v>
      </c>
      <c r="K16" s="440"/>
      <c r="L16" s="440"/>
      <c r="M16" s="440"/>
      <c r="N16" s="440"/>
      <c r="O16" s="440"/>
      <c r="P16" s="440"/>
      <c r="Q16" s="440"/>
      <c r="R16" s="440"/>
      <c r="S16" s="440"/>
      <c r="T16" s="440"/>
      <c r="U16" s="440"/>
      <c r="V16" s="440"/>
      <c r="W16" s="441"/>
    </row>
    <row r="17" spans="1:23" s="18" customFormat="1" ht="51" customHeight="1" x14ac:dyDescent="0.35">
      <c r="A17" s="155"/>
      <c r="B17" s="167" t="s">
        <v>38</v>
      </c>
      <c r="C17" s="21"/>
      <c r="D17" s="19"/>
      <c r="I17" s="167" t="s">
        <v>37</v>
      </c>
      <c r="J17" s="439" t="s">
        <v>641</v>
      </c>
      <c r="K17" s="440"/>
      <c r="L17" s="440"/>
      <c r="M17" s="440"/>
      <c r="N17" s="440"/>
      <c r="O17" s="440"/>
      <c r="P17" s="440"/>
      <c r="Q17" s="440"/>
      <c r="R17" s="440"/>
      <c r="S17" s="440"/>
      <c r="T17" s="440"/>
      <c r="U17" s="440"/>
      <c r="V17" s="440"/>
      <c r="W17" s="441"/>
    </row>
    <row r="18" spans="1:23" s="18" customFormat="1" ht="51" customHeight="1" x14ac:dyDescent="0.35">
      <c r="A18" s="155"/>
      <c r="B18" s="167" t="s">
        <v>36</v>
      </c>
      <c r="C18" s="21"/>
      <c r="D18" s="19"/>
      <c r="I18" s="165" t="s">
        <v>31</v>
      </c>
      <c r="J18" s="442" t="s">
        <v>642</v>
      </c>
      <c r="K18" s="443"/>
      <c r="L18" s="443"/>
      <c r="M18" s="443"/>
      <c r="N18" s="443"/>
      <c r="O18" s="443"/>
      <c r="P18" s="443"/>
      <c r="Q18" s="443"/>
      <c r="R18" s="443"/>
      <c r="S18" s="443"/>
      <c r="T18" s="443"/>
      <c r="U18" s="443"/>
      <c r="V18" s="443"/>
      <c r="W18" s="444"/>
    </row>
    <row r="19" spans="1:23" s="18" customFormat="1" ht="51" customHeight="1" thickBot="1" x14ac:dyDescent="0.4">
      <c r="A19" s="155"/>
      <c r="B19" s="167" t="s">
        <v>37</v>
      </c>
      <c r="C19" s="21"/>
      <c r="D19" s="19"/>
      <c r="I19" s="168" t="s">
        <v>32</v>
      </c>
      <c r="J19" s="439" t="s">
        <v>643</v>
      </c>
      <c r="K19" s="440"/>
      <c r="L19" s="440"/>
      <c r="M19" s="440"/>
      <c r="N19" s="440"/>
      <c r="O19" s="440"/>
      <c r="P19" s="440"/>
      <c r="Q19" s="440"/>
      <c r="R19" s="440"/>
      <c r="S19" s="440"/>
      <c r="T19" s="440"/>
      <c r="U19" s="440"/>
      <c r="V19" s="440"/>
      <c r="W19" s="441"/>
    </row>
    <row r="20" spans="1:23" s="18" customFormat="1" ht="51" customHeight="1" x14ac:dyDescent="0.35">
      <c r="A20" s="155"/>
      <c r="B20" s="165" t="s">
        <v>31</v>
      </c>
      <c r="C20" s="22"/>
      <c r="D20" s="19"/>
    </row>
    <row r="21" spans="1:23" s="18" customFormat="1" ht="51" customHeight="1" thickBot="1" x14ac:dyDescent="0.4">
      <c r="A21" s="157"/>
      <c r="B21" s="168" t="s">
        <v>32</v>
      </c>
      <c r="C21" s="23"/>
      <c r="D21" s="19"/>
    </row>
    <row r="22" spans="1:23" s="18" customFormat="1" ht="29.25" customHeight="1" thickBot="1" x14ac:dyDescent="0.4">
      <c r="A22" s="434" t="s">
        <v>56</v>
      </c>
      <c r="B22" s="435"/>
      <c r="D22" s="19"/>
    </row>
    <row r="23" spans="1:23" s="15" customFormat="1" ht="29.25" customHeight="1" x14ac:dyDescent="0.3">
      <c r="A23" s="455"/>
      <c r="B23" s="456"/>
      <c r="D23" s="16"/>
    </row>
    <row r="24" spans="1:23" s="15" customFormat="1" ht="29.25" customHeight="1" x14ac:dyDescent="0.3">
      <c r="A24" s="457"/>
      <c r="B24" s="458"/>
      <c r="D24" s="16"/>
    </row>
    <row r="25" spans="1:23" s="15" customFormat="1" ht="29.25" customHeight="1" x14ac:dyDescent="0.3">
      <c r="A25" s="457"/>
      <c r="B25" s="458"/>
      <c r="D25" s="16"/>
    </row>
    <row r="26" spans="1:23" s="15" customFormat="1" ht="29.25" customHeight="1" x14ac:dyDescent="0.3">
      <c r="A26" s="457"/>
      <c r="B26" s="458"/>
      <c r="D26" s="16"/>
    </row>
    <row r="27" spans="1:23" s="15" customFormat="1" ht="29.25" customHeight="1" thickBot="1" x14ac:dyDescent="0.35">
      <c r="A27" s="451"/>
      <c r="B27" s="452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2012-11-15T22:35:06Z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