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0" windowWidth="23040" windowHeight="8760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Refrigerators" sheetId="7" r:id="rId8"/>
    <sheet name="Walk Ins and Ice Makers" sheetId="13" r:id="rId9"/>
    <sheet name="Food Service" sheetId="16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_xlnm.Print_Area" localSheetId="1">'Business Type'!$A$1:$G$48</definedName>
    <definedName name="_xlnm.Print_Area" localSheetId="11">'Control Equipment'!$A$1:$D$6</definedName>
    <definedName name="_xlnm.Print_Area" localSheetId="0">'Facility Info'!$A$1:$L$29</definedName>
    <definedName name="_xlnm.Print_Area" localSheetId="9">'Food Service'!$A$1:$B$9</definedName>
    <definedName name="_xlnm.Print_Area" localSheetId="5">HVAC!$A$1:$M$10</definedName>
    <definedName name="_xlnm.Print_Area" localSheetId="3">'Indoor Lighting'!$A$1:$S$20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7">Refrigerators!$A$1:$E$22</definedName>
    <definedName name="_xlnm.Print_Area" localSheetId="12">'Vending Machines'!$A$1:$E$3</definedName>
    <definedName name="_xlnm.Print_Area" localSheetId="8">'Walk Ins and Ice Makers'!$A$1:$E$15</definedName>
    <definedName name="_xlnm.Print_Area" localSheetId="6">'Water Heating'!$A$1:$H$3</definedName>
  </definedNames>
  <calcPr calcId="145621"/>
</workbook>
</file>

<file path=xl/calcChain.xml><?xml version="1.0" encoding="utf-8"?>
<calcChain xmlns="http://schemas.openxmlformats.org/spreadsheetml/2006/main">
  <c r="O15" i="2" l="1"/>
  <c r="O16" i="2"/>
  <c r="O17" i="2"/>
  <c r="O18" i="2"/>
  <c r="O19" i="2"/>
  <c r="O20" i="2"/>
  <c r="O14" i="2"/>
  <c r="N14" i="2"/>
  <c r="N15" i="2"/>
  <c r="N16" i="2"/>
  <c r="N17" i="2"/>
  <c r="N18" i="2"/>
  <c r="N19" i="2"/>
  <c r="N20" i="2"/>
  <c r="Z14" i="2" l="1"/>
  <c r="AB14" i="2"/>
  <c r="AA14" i="2"/>
  <c r="AB19" i="2"/>
  <c r="Z19" i="2"/>
  <c r="AA19" i="2"/>
  <c r="AB17" i="2"/>
  <c r="Z17" i="2"/>
  <c r="AA17" i="2"/>
  <c r="Z18" i="2"/>
  <c r="AB18" i="2"/>
  <c r="AA18" i="2"/>
  <c r="Z20" i="2"/>
  <c r="AA20" i="2"/>
  <c r="AB20" i="2"/>
  <c r="AA16" i="2"/>
  <c r="Z16" i="2"/>
  <c r="AA15" i="2"/>
  <c r="Z15" i="2"/>
  <c r="AB16" i="2"/>
  <c r="AB15" i="2"/>
  <c r="U22" i="2"/>
  <c r="S22" i="2"/>
  <c r="O22" i="2"/>
  <c r="N22" i="2"/>
  <c r="P22" i="2" l="1"/>
</calcChain>
</file>

<file path=xl/sharedStrings.xml><?xml version="1.0" encoding="utf-8"?>
<sst xmlns="http://schemas.openxmlformats.org/spreadsheetml/2006/main" count="967" uniqueCount="665">
  <si>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</si>
  <si>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</si>
  <si>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</si>
  <si>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</si>
  <si>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</si>
  <si>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</si>
  <si>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</si>
  <si>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</si>
  <si>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</si>
  <si>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</si>
  <si>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</si>
  <si>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</si>
  <si>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</si>
  <si>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</si>
  <si>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</si>
  <si>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</si>
  <si>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</si>
  <si>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</si>
  <si>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</si>
  <si>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</si>
  <si>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</si>
  <si>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</si>
  <si>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</si>
  <si>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</si>
  <si>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</si>
  <si>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</si>
  <si>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</si>
  <si>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</si>
  <si>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</si>
  <si>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</si>
  <si>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</si>
  <si>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</si>
  <si>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</si>
  <si>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</si>
  <si>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</si>
  <si>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</si>
  <si>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</si>
  <si>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</si>
  <si>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</si>
  <si>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</si>
  <si>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</si>
  <si>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</si>
  <si>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</si>
  <si>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</si>
  <si>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</si>
  <si>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</si>
  <si>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</si>
  <si>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</si>
  <si>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</si>
  <si>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</si>
  <si>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</si>
  <si>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</si>
  <si>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</si>
  <si>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</si>
  <si>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</si>
  <si>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</si>
  <si>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</si>
  <si>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</si>
  <si>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</si>
  <si>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</si>
  <si>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</si>
  <si>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</si>
  <si>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</si>
  <si>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</si>
  <si>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</si>
  <si>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</si>
  <si>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</si>
  <si>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</si>
  <si>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</si>
  <si>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</si>
  <si>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</si>
  <si>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</si>
  <si>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</si>
  <si>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</si>
  <si>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</si>
  <si>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</si>
  <si>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</si>
  <si>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</si>
  <si>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</si>
  <si>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</si>
  <si>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</si>
  <si>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</si>
  <si>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</si>
  <si>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</si>
  <si>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</si>
  <si>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</si>
  <si>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</si>
  <si>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</si>
  <si>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</si>
  <si>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</si>
  <si>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</si>
  <si>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</si>
  <si>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</si>
  <si>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</si>
  <si>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</si>
  <si>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</si>
  <si>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</si>
  <si>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</si>
  <si>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</si>
  <si>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</si>
  <si>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</si>
  <si>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</si>
  <si>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</si>
  <si>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</si>
  <si>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</si>
  <si>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</si>
  <si>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</si>
  <si>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</si>
  <si>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</si>
  <si>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</si>
  <si>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</si>
  <si>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</si>
  <si>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</si>
  <si>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</si>
  <si>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</si>
  <si>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</si>
  <si>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</si>
  <si>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</si>
  <si>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</si>
  <si>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</si>
  <si>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</si>
  <si>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</si>
  <si>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</si>
  <si>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</si>
  <si>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</si>
  <si>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</si>
  <si>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</si>
  <si>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</si>
  <si>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</si>
  <si>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</si>
  <si>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</si>
  <si>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</si>
  <si>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</si>
  <si>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</si>
  <si>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</si>
  <si>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</si>
  <si>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</si>
  <si>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</si>
  <si>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</si>
  <si>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</si>
  <si>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</si>
  <si>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</si>
  <si>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</si>
  <si>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</si>
  <si>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</si>
  <si>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</si>
  <si>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</si>
  <si>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</si>
  <si>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</si>
  <si>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</si>
  <si>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</si>
  <si>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</si>
  <si>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</si>
  <si>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</si>
  <si>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</si>
  <si>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</si>
  <si>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</si>
  <si>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</si>
  <si>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</si>
  <si>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</si>
  <si>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</si>
  <si>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</si>
  <si>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</si>
  <si>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</si>
  <si>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</si>
  <si>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</si>
  <si>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</si>
  <si>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</si>
  <si>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</si>
  <si>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</si>
  <si>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</si>
  <si>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</si>
  <si>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</si>
  <si>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</si>
  <si>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</si>
  <si>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</si>
  <si>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</si>
  <si>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</si>
  <si>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</si>
  <si>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</si>
  <si>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</si>
  <si>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</si>
  <si>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</si>
  <si>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</si>
  <si>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</si>
  <si>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</si>
  <si>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</si>
  <si>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</si>
  <si>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</si>
  <si>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</si>
  <si>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</si>
  <si>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</si>
  <si>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</si>
  <si>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</si>
  <si>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</si>
  <si>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</si>
  <si>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</si>
  <si>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</si>
  <si>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</si>
  <si>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</si>
  <si>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</si>
  <si>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</si>
  <si>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</si>
  <si>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</si>
  <si>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</si>
  <si>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</si>
  <si>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</si>
  <si>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</si>
  <si>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</si>
  <si>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</si>
  <si>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</si>
  <si>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</si>
  <si>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</si>
  <si>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</si>
  <si>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</si>
  <si>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</si>
  <si>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</si>
  <si>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</si>
  <si>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</si>
  <si>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</si>
  <si>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</si>
  <si>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</si>
  <si>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</si>
  <si>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</si>
  <si>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</si>
  <si>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</si>
  <si>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</si>
  <si>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</si>
  <si>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</si>
  <si>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</si>
  <si>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</si>
  <si>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</si>
  <si>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</si>
  <si>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</si>
  <si>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</si>
  <si>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</si>
  <si>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</si>
  <si>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</si>
  <si>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</si>
  <si>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</si>
  <si>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</si>
  <si>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</si>
  <si>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</si>
  <si>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</si>
  <si>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</si>
  <si>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</si>
  <si>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</si>
  <si>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</si>
  <si>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</si>
  <si>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</si>
  <si>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</si>
  <si>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</si>
  <si>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</si>
  <si>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</si>
  <si>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</si>
  <si>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</si>
  <si>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Energy savings (kWh)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</si>
  <si>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</si>
  <si>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</si>
  <si>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</si>
  <si>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</si>
  <si>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</si>
  <si>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</si>
  <si>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</si>
  <si>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</si>
  <si>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</si>
  <si>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</si>
  <si>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</si>
  <si>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</si>
  <si>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</si>
  <si>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</si>
  <si>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</si>
  <si>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</si>
  <si>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</si>
  <si>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</si>
  <si>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</si>
  <si>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</si>
  <si>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</si>
  <si>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</si>
  <si>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</si>
  <si>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</si>
  <si>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</si>
  <si>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</si>
  <si>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</si>
  <si>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</si>
  <si>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</si>
  <si>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</si>
  <si>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</si>
  <si>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</si>
  <si>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</si>
  <si>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</si>
  <si>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</si>
  <si>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</si>
  <si>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</si>
  <si>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</si>
  <si>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</si>
  <si>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</si>
  <si>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</si>
  <si>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</si>
  <si>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</si>
  <si>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</si>
  <si>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</si>
  <si>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Location (Roof, Ground, Ceiling, Window)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</si>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</sst>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0000"/>
      <name val="Calibri"/>
      <family val="2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54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0" fillId="2" borderId="4" xfId="0" applyFill="1" applyBorder="1" applyAlignment="1">
      <alignment vertical="center"/>
    </xf>
    <xf numFmtId="0" fontId="13" fillId="0" borderId="1" xfId="0" applyFont="1" applyFill="1" applyBorder="1" applyAlignment="1"/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17" fillId="0" borderId="3" xfId="0" applyFont="1" applyFill="1" applyBorder="1" applyAlignment="1">
      <alignment vertical="center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9" xfId="0" applyFill="1" applyBorder="1" applyAlignment="1">
      <alignment horizontal="center" vertical="center"/>
    </xf>
    <xf numFmtId="0" fontId="0" fillId="2" borderId="50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2" xfId="0" applyFont="1" applyFill="1" applyBorder="1"/>
    <xf numFmtId="0" fontId="2" fillId="2" borderId="53" xfId="0" applyFont="1" applyFill="1" applyBorder="1"/>
    <xf numFmtId="0" fontId="0" fillId="0" borderId="53" xfId="0" applyBorder="1"/>
    <xf numFmtId="0" fontId="9" fillId="2" borderId="2" xfId="0" applyFont="1" applyFill="1" applyBorder="1" applyAlignment="1">
      <alignment horizontal="left" wrapText="1"/>
    </xf>
    <xf numFmtId="0" fontId="9" fillId="2" borderId="54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1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28" xfId="0" applyFont="1" applyFill="1" applyBorder="1" applyAlignment="1">
      <alignment horizontal="left"/>
    </xf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0" fillId="7" borderId="50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7" borderId="0" xfId="0" applyFont="1" applyFill="1" applyAlignment="1">
      <alignment horizontal="left" vertical="center"/>
    </xf>
    <xf numFmtId="0" fontId="56" fillId="2" borderId="0" xfId="0" applyFont="1" applyFill="1"/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4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4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4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50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1737360</xdr:colOff>
          <xdr:row>5</xdr:row>
          <xdr:rowOff>228600</xdr:rowOff>
        </xdr:from>
        <xdr:to>
          <xdr:col>29</xdr:col>
          <xdr:colOff>6042660</xdr:colOff>
          <xdr:row>8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30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201" customWidth="1"/>
    <col min="2" max="2" width="28.33203125" style="201" customWidth="1"/>
    <col min="3" max="3" width="13.5546875" style="201" customWidth="1"/>
    <col min="4" max="4" width="35.6640625" style="201" customWidth="1"/>
    <col min="5" max="5" width="17.6640625" style="226" customWidth="1"/>
    <col min="6" max="6" width="15.44140625" style="201" customWidth="1"/>
    <col min="7" max="7" width="24.33203125" style="201" customWidth="1"/>
    <col min="8" max="8" width="20.5546875" style="201" customWidth="1"/>
    <col min="9" max="9" width="22.44140625" style="201" customWidth="1"/>
    <col min="10" max="10" width="21.109375" style="201" customWidth="1"/>
    <col min="11" max="11" width="28.88671875" style="201" customWidth="1"/>
    <col min="12" max="12" width="23.44140625" style="201" customWidth="1"/>
    <col min="13" max="13" width="24.109375" style="201" hidden="1" customWidth="1"/>
    <col min="14" max="14" width="10.33203125" style="201" hidden="1" customWidth="1"/>
    <col min="15" max="15" width="8.88671875" style="227" hidden="1" customWidth="1"/>
    <col min="16" max="18" width="8.88671875" style="201" hidden="1" customWidth="1"/>
    <col min="19" max="19" width="13.33203125" style="201" hidden="1" customWidth="1"/>
    <col min="20" max="26" width="8.88671875" style="201" hidden="1" customWidth="1"/>
    <col min="27" max="27" width="15.5546875" style="201" hidden="1" customWidth="1"/>
    <col min="28" max="28" width="15.88671875" style="201" hidden="1" customWidth="1"/>
    <col min="29" max="29" width="8.88671875" style="201" customWidth="1"/>
    <col min="30" max="30" width="91.109375" style="201" customWidth="1"/>
    <col min="31" max="16384" width="8.88671875" style="201"/>
  </cols>
  <sheetData>
    <row r="1" spans="1:30" s="186" customFormat="1" ht="54.6" customHeight="1" x14ac:dyDescent="0.4">
      <c r="A1" s="249" t="s">
        <v>13</v>
      </c>
      <c r="B1" s="354"/>
      <c r="C1" s="238"/>
      <c r="D1" s="182"/>
      <c r="E1" s="183"/>
      <c r="F1" s="183"/>
      <c r="G1" s="184" t="s">
        <v>39</v>
      </c>
      <c r="H1" s="355"/>
      <c r="I1" s="194"/>
      <c r="J1" s="185" t="s">
        <v>41</v>
      </c>
      <c r="K1" s="239"/>
      <c r="L1" s="194"/>
      <c r="O1" s="187"/>
      <c r="P1" s="187"/>
      <c r="Q1" s="188"/>
      <c r="AD1" s="410" t="s">
        <v>654</v>
      </c>
    </row>
    <row r="2" spans="1:30" s="186" customFormat="1" ht="65.400000000000006" customHeight="1" x14ac:dyDescent="0.4">
      <c r="A2" s="250" t="s">
        <v>45</v>
      </c>
      <c r="B2" s="355"/>
      <c r="C2" s="194"/>
      <c r="D2" s="194"/>
      <c r="E2" s="194"/>
      <c r="F2" s="190"/>
      <c r="G2" s="191" t="s">
        <v>40</v>
      </c>
      <c r="H2" s="241" t="s">
        <v>296</v>
      </c>
      <c r="I2" s="190"/>
      <c r="J2" s="190"/>
      <c r="K2" s="190"/>
      <c r="L2" s="190"/>
      <c r="O2" s="192"/>
      <c r="P2" s="192"/>
      <c r="Q2" s="188"/>
      <c r="AD2" s="410" t="s">
        <v>655</v>
      </c>
    </row>
    <row r="3" spans="1:30" s="186" customFormat="1" ht="69.599999999999994" customHeight="1" x14ac:dyDescent="0.4">
      <c r="A3" s="210" t="s">
        <v>299</v>
      </c>
      <c r="B3" s="355"/>
      <c r="C3" s="194"/>
      <c r="D3" s="191" t="s">
        <v>314</v>
      </c>
      <c r="E3" s="355"/>
      <c r="F3" s="190"/>
      <c r="G3" s="416" t="s">
        <v>315</v>
      </c>
      <c r="H3" s="417"/>
      <c r="I3" s="241"/>
      <c r="J3" s="297" t="s">
        <v>316</v>
      </c>
      <c r="K3" s="241"/>
      <c r="L3" s="235"/>
      <c r="O3" s="192"/>
      <c r="P3" s="192"/>
      <c r="Q3" s="188"/>
      <c r="AD3" s="410" t="s">
        <v>656</v>
      </c>
    </row>
    <row r="4" spans="1:30" s="186" customFormat="1" ht="72.75" customHeight="1" x14ac:dyDescent="0.4">
      <c r="A4" s="210" t="s">
        <v>46</v>
      </c>
      <c r="B4" s="355"/>
      <c r="C4" s="194"/>
      <c r="D4" s="194"/>
      <c r="E4" s="194"/>
      <c r="F4" s="190"/>
      <c r="G4" s="191" t="s">
        <v>15</v>
      </c>
      <c r="H4" s="241"/>
      <c r="I4" s="190"/>
      <c r="J4" s="190"/>
      <c r="K4" s="190"/>
      <c r="L4" s="190"/>
      <c r="O4" s="192"/>
      <c r="P4" s="192"/>
      <c r="Q4" s="188"/>
      <c r="AD4" s="410" t="s">
        <v>657</v>
      </c>
    </row>
    <row r="5" spans="1:30" s="186" customFormat="1" ht="33" customHeight="1" x14ac:dyDescent="0.4">
      <c r="A5" s="250" t="s">
        <v>312</v>
      </c>
      <c r="B5" s="355"/>
      <c r="C5" s="194"/>
      <c r="D5" s="194"/>
      <c r="E5" s="194"/>
      <c r="F5" s="194"/>
      <c r="G5" s="195"/>
      <c r="H5" s="195"/>
      <c r="I5" s="195"/>
      <c r="J5" s="195"/>
      <c r="K5" s="195"/>
      <c r="L5" s="196"/>
      <c r="O5" s="192"/>
      <c r="P5" s="192"/>
      <c r="Q5" s="188"/>
    </row>
    <row r="6" spans="1:30" ht="77.25" customHeight="1" x14ac:dyDescent="0.4">
      <c r="A6" s="210" t="s">
        <v>49</v>
      </c>
      <c r="B6" s="240"/>
      <c r="C6" s="197"/>
      <c r="D6" s="297" t="s">
        <v>317</v>
      </c>
      <c r="E6" s="357"/>
      <c r="F6" s="187"/>
      <c r="G6" s="198" t="s">
        <v>57</v>
      </c>
      <c r="H6" s="199"/>
      <c r="I6" s="199"/>
      <c r="J6" s="199"/>
      <c r="K6" s="199"/>
      <c r="L6" s="200"/>
      <c r="O6" s="201"/>
      <c r="Q6" s="187"/>
      <c r="R6" s="187"/>
      <c r="S6" s="187"/>
      <c r="T6" s="187"/>
      <c r="U6" s="187"/>
      <c r="V6" s="187"/>
    </row>
    <row r="7" spans="1:30" ht="68.25" customHeight="1" x14ac:dyDescent="0.4">
      <c r="A7" s="296" t="s">
        <v>318</v>
      </c>
      <c r="B7" s="356"/>
      <c r="C7" s="190"/>
      <c r="D7" s="190"/>
      <c r="E7" s="190"/>
      <c r="F7" s="187"/>
      <c r="G7" s="243"/>
      <c r="H7" s="243"/>
      <c r="I7" s="243"/>
      <c r="J7" s="243"/>
      <c r="K7" s="215"/>
      <c r="L7" s="200"/>
      <c r="M7" s="201" t="s">
        <v>309</v>
      </c>
      <c r="O7" s="201"/>
      <c r="Q7" s="187"/>
      <c r="R7" s="187"/>
      <c r="S7" s="187"/>
      <c r="T7" s="187"/>
      <c r="U7" s="187"/>
      <c r="V7" s="187"/>
    </row>
    <row r="8" spans="1:30" ht="39.75" customHeight="1" x14ac:dyDescent="0.4">
      <c r="A8" s="250" t="s">
        <v>44</v>
      </c>
      <c r="B8" s="357"/>
      <c r="C8" s="197"/>
      <c r="D8" s="197"/>
      <c r="E8" s="204"/>
      <c r="F8" s="187"/>
      <c r="G8" s="191" t="s">
        <v>277</v>
      </c>
      <c r="H8" s="242"/>
      <c r="J8" s="191" t="s">
        <v>278</v>
      </c>
      <c r="K8" s="242"/>
      <c r="L8" s="200"/>
      <c r="M8" s="201" t="s">
        <v>307</v>
      </c>
      <c r="O8" s="201"/>
      <c r="Q8" s="187"/>
      <c r="R8" s="202"/>
      <c r="S8" s="187"/>
      <c r="T8" s="187"/>
      <c r="U8" s="187"/>
      <c r="V8" s="187"/>
    </row>
    <row r="9" spans="1:30" ht="39.75" customHeight="1" x14ac:dyDescent="0.4">
      <c r="A9" s="250" t="s">
        <v>16</v>
      </c>
      <c r="B9" s="332"/>
      <c r="C9" s="197"/>
      <c r="D9" s="197"/>
      <c r="E9" s="204"/>
      <c r="F9" s="187"/>
      <c r="H9" s="191" t="s">
        <v>297</v>
      </c>
      <c r="I9" s="242"/>
      <c r="L9" s="200"/>
      <c r="M9" s="201" t="s">
        <v>308</v>
      </c>
      <c r="O9" s="201"/>
      <c r="Q9" s="187"/>
      <c r="R9" s="202"/>
      <c r="S9" s="187"/>
      <c r="T9" s="187"/>
      <c r="U9" s="187"/>
      <c r="V9" s="187"/>
    </row>
    <row r="10" spans="1:30" ht="43.5" customHeight="1" x14ac:dyDescent="0.4">
      <c r="A10" s="203"/>
      <c r="B10" s="197"/>
      <c r="C10" s="197"/>
      <c r="D10" s="197"/>
      <c r="E10" s="204"/>
      <c r="F10" s="187"/>
      <c r="G10" s="187"/>
      <c r="J10" s="187"/>
      <c r="K10" s="187"/>
      <c r="L10" s="200"/>
      <c r="M10" s="201" t="s">
        <v>310</v>
      </c>
      <c r="O10" s="201"/>
      <c r="Q10" s="187"/>
      <c r="R10" s="202"/>
      <c r="S10" s="187"/>
      <c r="T10" s="187"/>
      <c r="U10" s="187"/>
      <c r="V10" s="187"/>
      <c r="AD10" s="411" t="s">
        <v>658</v>
      </c>
    </row>
    <row r="11" spans="1:30" ht="36.75" customHeight="1" thickBot="1" x14ac:dyDescent="0.45">
      <c r="A11" s="205" t="s">
        <v>258</v>
      </c>
      <c r="B11" s="187"/>
      <c r="C11" s="187"/>
      <c r="D11" s="358"/>
      <c r="E11" s="204" t="s">
        <v>327</v>
      </c>
      <c r="F11" s="191"/>
      <c r="G11" s="187"/>
      <c r="H11" s="187"/>
      <c r="I11" s="187"/>
      <c r="J11" s="187"/>
      <c r="K11" s="187"/>
      <c r="L11" s="200"/>
      <c r="O11" s="201"/>
      <c r="Q11" s="187"/>
      <c r="R11" s="202"/>
      <c r="S11" s="187"/>
      <c r="T11" s="187"/>
      <c r="U11" s="187"/>
      <c r="V11" s="187"/>
      <c r="AD11" s="414" t="s">
        <v>661</v>
      </c>
    </row>
    <row r="12" spans="1:30" ht="36.75" customHeight="1" x14ac:dyDescent="0.4">
      <c r="A12" s="203"/>
      <c r="B12" s="187"/>
      <c r="C12" s="187"/>
      <c r="D12" s="187"/>
      <c r="E12" s="204"/>
      <c r="F12" s="187"/>
      <c r="G12" s="206" t="s">
        <v>259</v>
      </c>
      <c r="H12" s="207"/>
      <c r="I12" s="207"/>
      <c r="J12" s="418" t="s">
        <v>319</v>
      </c>
      <c r="K12" s="187"/>
      <c r="L12" s="200"/>
      <c r="O12" s="201"/>
      <c r="Q12" s="187"/>
      <c r="R12" s="202"/>
      <c r="S12" s="187"/>
      <c r="T12" s="187"/>
      <c r="U12" s="187"/>
      <c r="V12" s="187"/>
      <c r="AD12" s="412" t="s">
        <v>662</v>
      </c>
    </row>
    <row r="13" spans="1:30" ht="48.75" customHeight="1" x14ac:dyDescent="0.4">
      <c r="A13" s="203"/>
      <c r="B13" s="187"/>
      <c r="C13" s="187"/>
      <c r="D13" s="187"/>
      <c r="E13" s="204"/>
      <c r="F13" s="187"/>
      <c r="G13" s="203"/>
      <c r="H13" s="187" t="s">
        <v>305</v>
      </c>
      <c r="I13" s="187" t="s">
        <v>306</v>
      </c>
      <c r="J13" s="419"/>
      <c r="N13" s="187" t="s">
        <v>576</v>
      </c>
      <c r="O13" s="200" t="s">
        <v>577</v>
      </c>
      <c r="Q13" s="187"/>
      <c r="R13" s="202"/>
      <c r="S13" s="187"/>
      <c r="T13" s="187"/>
      <c r="U13" s="187"/>
      <c r="V13" s="187"/>
      <c r="AD13" s="413" t="s">
        <v>663</v>
      </c>
    </row>
    <row r="14" spans="1:30" ht="36.75" customHeight="1" x14ac:dyDescent="0.4">
      <c r="A14" s="210" t="s">
        <v>18</v>
      </c>
      <c r="B14" s="242"/>
      <c r="C14" s="187"/>
      <c r="D14" s="187"/>
      <c r="E14" s="211"/>
      <c r="F14" s="191"/>
      <c r="G14" s="208" t="s">
        <v>50</v>
      </c>
      <c r="H14" s="408"/>
      <c r="I14" s="409"/>
      <c r="J14" s="298"/>
      <c r="N14" s="339">
        <f t="shared" ref="N14:N20" si="0">IF(ISBLANK(H14), 0, 1)</f>
        <v>0</v>
      </c>
      <c r="O14" s="340">
        <f>(I14-H14)*24</f>
        <v>0</v>
      </c>
      <c r="S14" s="343"/>
      <c r="T14" s="187"/>
      <c r="U14" s="187"/>
      <c r="V14" s="187"/>
      <c r="Z14" s="201" t="str">
        <f>IF(N14=1, "Mon:", "")</f>
        <v/>
      </c>
      <c r="AA14" s="335" t="str">
        <f>IF(N14=1, TEXT(TIME(HOUR(H14), MINUTE(H14), SECOND(H14)), " h:mm AM/PM-"), "")</f>
        <v/>
      </c>
      <c r="AB14" s="335" t="str">
        <f>IF(N14=1, TEXT(TIME(HOUR(I14), MINUTE(I14), SECOND(I14)), "h:mm AM/PM "), "")</f>
        <v/>
      </c>
      <c r="AD14" s="411" t="s">
        <v>664</v>
      </c>
    </row>
    <row r="15" spans="1:30" ht="36.75" customHeight="1" x14ac:dyDescent="0.4">
      <c r="A15" s="189" t="s">
        <v>80</v>
      </c>
      <c r="B15" s="358"/>
      <c r="C15" s="187"/>
      <c r="D15" s="191" t="s">
        <v>313</v>
      </c>
      <c r="E15" s="359"/>
      <c r="F15" s="191"/>
      <c r="G15" s="208" t="s">
        <v>51</v>
      </c>
      <c r="H15" s="408"/>
      <c r="I15" s="409"/>
      <c r="J15" s="209"/>
      <c r="N15" s="339">
        <f t="shared" si="0"/>
        <v>0</v>
      </c>
      <c r="O15" s="340">
        <f t="shared" ref="O15:O20" si="1">(I15-H15)*24</f>
        <v>0</v>
      </c>
      <c r="S15" s="187"/>
      <c r="T15" s="187"/>
      <c r="U15" s="187"/>
      <c r="V15" s="187"/>
      <c r="Z15" s="201" t="str">
        <f>IF(N15=1, "Tue:", "")</f>
        <v/>
      </c>
      <c r="AA15" s="335" t="str">
        <f>IF(N15=1, TEXT(TIME(HOUR(H15), MINUTE(H15), SECOND(H15)), " h:mm AM/PM-"), "")</f>
        <v/>
      </c>
      <c r="AB15" s="335" t="str">
        <f t="shared" ref="AB15:AB20" si="2">IF(N15=1, TEXT(TIME(HOUR(I15), MINUTE(I15), SECOND(I15)), "h:mm AM/PM "), "")</f>
        <v/>
      </c>
    </row>
    <row r="16" spans="1:30" ht="36.75" customHeight="1" x14ac:dyDescent="0.65">
      <c r="A16" s="189" t="s">
        <v>235</v>
      </c>
      <c r="B16" s="242"/>
      <c r="C16" s="187"/>
      <c r="D16" s="191" t="s">
        <v>320</v>
      </c>
      <c r="E16" s="360"/>
      <c r="F16" s="191"/>
      <c r="G16" s="208" t="s">
        <v>52</v>
      </c>
      <c r="H16" s="408"/>
      <c r="I16" s="409"/>
      <c r="J16" s="209"/>
      <c r="N16" s="339">
        <f t="shared" si="0"/>
        <v>0</v>
      </c>
      <c r="O16" s="340">
        <f t="shared" si="1"/>
        <v>0</v>
      </c>
      <c r="Q16" s="187"/>
      <c r="R16" s="202"/>
      <c r="S16" s="187"/>
      <c r="T16" s="187"/>
      <c r="U16" s="187"/>
      <c r="V16" s="187"/>
      <c r="Z16" s="201" t="str">
        <f>IF(N16=1, "Wed:", "")</f>
        <v/>
      </c>
      <c r="AA16" s="335" t="str">
        <f t="shared" ref="AA16:AA20" si="3">IF(N16=1, TEXT(TIME(HOUR(H16), MINUTE(H16), SECOND(H16)), " h:mm AM/PM-"), "")</f>
        <v/>
      </c>
      <c r="AB16" s="335" t="str">
        <f t="shared" si="2"/>
        <v/>
      </c>
      <c r="AD16" s="415" t="s">
        <v>659</v>
      </c>
    </row>
    <row r="17" spans="1:30" ht="51.75" customHeight="1" x14ac:dyDescent="0.65">
      <c r="A17" s="296"/>
      <c r="B17" s="187"/>
      <c r="C17" s="187"/>
      <c r="D17" s="191" t="s">
        <v>326</v>
      </c>
      <c r="E17" s="299"/>
      <c r="F17" s="191"/>
      <c r="G17" s="208" t="s">
        <v>53</v>
      </c>
      <c r="H17" s="408"/>
      <c r="I17" s="409"/>
      <c r="J17" s="209"/>
      <c r="N17" s="339">
        <f t="shared" si="0"/>
        <v>0</v>
      </c>
      <c r="O17" s="340">
        <f t="shared" si="1"/>
        <v>0</v>
      </c>
      <c r="Q17" s="187"/>
      <c r="R17" s="202"/>
      <c r="S17" s="187"/>
      <c r="T17" s="187"/>
      <c r="U17" s="187"/>
      <c r="V17" s="187"/>
      <c r="Z17" s="201" t="str">
        <f>IF(N17=1, "Thur:", "")</f>
        <v/>
      </c>
      <c r="AA17" s="335" t="str">
        <f>IF(N17=1, TEXT(TIME(HOUR(H17), MINUTE(H17), SECOND(H17)), " h:mm AM/PM-"), "")</f>
        <v/>
      </c>
      <c r="AB17" s="335" t="str">
        <f>IF(N17=1, TEXT(TIME(HOUR(I17), MINUTE(I17), SECOND(I17)), "h:mm AM/PM "), "")</f>
        <v/>
      </c>
      <c r="AD17" s="415" t="s">
        <v>660</v>
      </c>
    </row>
    <row r="18" spans="1:30" ht="36.75" customHeight="1" x14ac:dyDescent="0.4">
      <c r="A18" s="189" t="s">
        <v>266</v>
      </c>
      <c r="B18" s="242"/>
      <c r="C18" s="187"/>
      <c r="D18" s="197"/>
      <c r="E18" s="204"/>
      <c r="F18" s="197"/>
      <c r="G18" s="208" t="s">
        <v>54</v>
      </c>
      <c r="H18" s="408"/>
      <c r="I18" s="409"/>
      <c r="J18" s="209"/>
      <c r="N18" s="339">
        <f t="shared" si="0"/>
        <v>0</v>
      </c>
      <c r="O18" s="340">
        <f t="shared" si="1"/>
        <v>0</v>
      </c>
      <c r="Q18" s="187"/>
      <c r="R18" s="202"/>
      <c r="S18" s="187"/>
      <c r="T18" s="187"/>
      <c r="U18" s="187"/>
      <c r="V18" s="187"/>
      <c r="Z18" s="201" t="str">
        <f>IF(N18=1, "Fri:", "")</f>
        <v/>
      </c>
      <c r="AA18" s="335" t="str">
        <f>IF(N18=1, TEXT(TIME(HOUR(H18), MINUTE(H18), SECOND(H18)), " h:mm AM/PM-"), "")</f>
        <v/>
      </c>
      <c r="AB18" s="335" t="str">
        <f t="shared" ref="AB18:AB19" si="4">IF(N18=1, TEXT(TIME(HOUR(I18), MINUTE(I18), SECOND(I18)), "h:mm AM/PM "), "")</f>
        <v/>
      </c>
    </row>
    <row r="19" spans="1:30" ht="36.75" customHeight="1" x14ac:dyDescent="0.4">
      <c r="A19" s="203"/>
      <c r="B19" s="187"/>
      <c r="C19" s="187"/>
      <c r="D19" s="197"/>
      <c r="E19" s="204"/>
      <c r="F19" s="197"/>
      <c r="G19" s="208" t="s">
        <v>47</v>
      </c>
      <c r="H19" s="408"/>
      <c r="I19" s="409"/>
      <c r="J19" s="209"/>
      <c r="N19" s="339">
        <f t="shared" si="0"/>
        <v>0</v>
      </c>
      <c r="O19" s="340">
        <f t="shared" si="1"/>
        <v>0</v>
      </c>
      <c r="R19" s="202"/>
      <c r="S19" s="187"/>
      <c r="T19" s="187"/>
      <c r="Z19" s="201" t="str">
        <f>IF(N19=1, "Sat:", "")</f>
        <v/>
      </c>
      <c r="AA19" s="335" t="str">
        <f t="shared" ref="AA19" si="5">IF(N19=1, TEXT(TIME(HOUR(H19), MINUTE(H19), SECOND(H19)), " h:mm AM/PM-"), "")</f>
        <v/>
      </c>
      <c r="AB19" s="335" t="str">
        <f t="shared" si="4"/>
        <v/>
      </c>
    </row>
    <row r="20" spans="1:30" s="216" customFormat="1" ht="36.75" customHeight="1" x14ac:dyDescent="0.4">
      <c r="A20" s="193"/>
      <c r="B20" s="215"/>
      <c r="C20" s="215"/>
      <c r="D20" s="215"/>
      <c r="E20" s="215"/>
      <c r="F20" s="215"/>
      <c r="G20" s="208" t="s">
        <v>48</v>
      </c>
      <c r="H20" s="408"/>
      <c r="I20" s="409"/>
      <c r="J20" s="209"/>
      <c r="M20" s="215"/>
      <c r="N20" s="339">
        <f t="shared" si="0"/>
        <v>0</v>
      </c>
      <c r="O20" s="340">
        <f t="shared" si="1"/>
        <v>0</v>
      </c>
      <c r="Z20" s="201" t="str">
        <f>IF(N20=1, "Sun:", "")</f>
        <v/>
      </c>
      <c r="AA20" s="335" t="str">
        <f t="shared" si="3"/>
        <v/>
      </c>
      <c r="AB20" s="335" t="str">
        <f t="shared" si="2"/>
        <v/>
      </c>
    </row>
    <row r="21" spans="1:30" ht="36.75" customHeight="1" thickBot="1" x14ac:dyDescent="0.45">
      <c r="A21" s="189" t="s">
        <v>55</v>
      </c>
      <c r="B21" s="242"/>
      <c r="C21" s="187"/>
      <c r="D21" s="197"/>
      <c r="E21" s="204"/>
      <c r="F21" s="197"/>
      <c r="G21" s="212"/>
      <c r="H21" s="213"/>
      <c r="I21" s="213"/>
      <c r="J21" s="214"/>
      <c r="N21" s="336" t="s">
        <v>578</v>
      </c>
      <c r="O21" s="337" t="s">
        <v>578</v>
      </c>
      <c r="P21" s="201" t="s">
        <v>579</v>
      </c>
      <c r="R21" s="202"/>
      <c r="S21" s="187" t="s">
        <v>625</v>
      </c>
      <c r="T21" s="187"/>
      <c r="U21" s="201" t="s">
        <v>626</v>
      </c>
    </row>
    <row r="22" spans="1:30" ht="36.75" customHeight="1" x14ac:dyDescent="0.4">
      <c r="A22" s="203"/>
      <c r="B22" s="187"/>
      <c r="C22" s="187"/>
      <c r="D22" s="197"/>
      <c r="E22" s="204"/>
      <c r="F22" s="197"/>
      <c r="G22" s="197"/>
      <c r="H22" s="187"/>
      <c r="I22" s="187"/>
      <c r="J22" s="215"/>
      <c r="N22" s="338">
        <f>SUM(N14:N20)</f>
        <v>0</v>
      </c>
      <c r="O22" s="341">
        <f>SUM(O14:O20)</f>
        <v>0</v>
      </c>
      <c r="P22" s="342">
        <f>IFERROR(O22/N22, 0)</f>
        <v>0</v>
      </c>
      <c r="R22" s="202"/>
      <c r="S22" s="187">
        <f>SUM(N19:N20)</f>
        <v>0</v>
      </c>
      <c r="T22" s="187"/>
      <c r="U22" s="201">
        <f>SUM(N14:N18)</f>
        <v>0</v>
      </c>
    </row>
    <row r="23" spans="1:30" ht="36.75" customHeight="1" x14ac:dyDescent="0.4">
      <c r="A23" s="203"/>
      <c r="B23" s="187"/>
      <c r="C23" s="187"/>
      <c r="D23" s="197"/>
      <c r="E23" s="204"/>
      <c r="F23" s="197"/>
      <c r="G23" s="197"/>
      <c r="H23" s="187"/>
      <c r="I23" s="187"/>
      <c r="J23" s="215"/>
      <c r="O23" s="201"/>
      <c r="R23" s="202"/>
      <c r="S23" s="187"/>
      <c r="T23" s="187"/>
    </row>
    <row r="24" spans="1:30" ht="18" customHeight="1" x14ac:dyDescent="0.4">
      <c r="A24" s="203"/>
      <c r="B24" s="197"/>
      <c r="C24" s="197"/>
      <c r="D24" s="197"/>
      <c r="E24" s="204"/>
      <c r="F24" s="197"/>
      <c r="G24" s="197"/>
      <c r="H24" s="197"/>
      <c r="I24" s="197"/>
      <c r="J24" s="199"/>
      <c r="K24" s="199"/>
      <c r="L24" s="209"/>
      <c r="O24" s="201"/>
    </row>
    <row r="25" spans="1:30" ht="18" customHeight="1" x14ac:dyDescent="0.4">
      <c r="A25" s="203"/>
      <c r="B25" s="197"/>
      <c r="C25" s="197"/>
      <c r="D25" s="197"/>
      <c r="E25" s="204"/>
      <c r="F25" s="197"/>
      <c r="G25" s="197"/>
      <c r="H25" s="197"/>
      <c r="I25" s="197"/>
      <c r="J25" s="199"/>
      <c r="K25" s="199"/>
      <c r="L25" s="209"/>
      <c r="O25" s="201"/>
    </row>
    <row r="26" spans="1:30" ht="18" customHeight="1" x14ac:dyDescent="0.4">
      <c r="A26" s="217"/>
      <c r="B26" s="197"/>
      <c r="C26" s="197"/>
      <c r="D26" s="197"/>
      <c r="E26" s="204"/>
      <c r="F26" s="197"/>
      <c r="G26" s="197"/>
      <c r="H26" s="197"/>
      <c r="I26" s="197"/>
      <c r="J26" s="199"/>
      <c r="K26" s="199"/>
      <c r="L26" s="209"/>
      <c r="O26" s="201"/>
    </row>
    <row r="27" spans="1:30" ht="20.25" customHeight="1" x14ac:dyDescent="0.4">
      <c r="A27" s="217" t="s">
        <v>260</v>
      </c>
      <c r="B27" s="197"/>
      <c r="C27" s="197"/>
      <c r="D27" s="197"/>
      <c r="E27" s="204"/>
      <c r="F27" s="197"/>
      <c r="G27" s="197"/>
      <c r="H27" s="197"/>
      <c r="I27" s="197"/>
      <c r="J27" s="199"/>
      <c r="K27" s="199"/>
      <c r="L27" s="209"/>
      <c r="O27" s="201"/>
    </row>
    <row r="28" spans="1:30" ht="20.25" customHeight="1" x14ac:dyDescent="0.4">
      <c r="A28" s="217" t="s">
        <v>43</v>
      </c>
      <c r="B28" s="197"/>
      <c r="C28" s="197"/>
      <c r="D28" s="197"/>
      <c r="E28" s="204"/>
      <c r="F28" s="197"/>
      <c r="G28" s="197"/>
      <c r="H28" s="197"/>
      <c r="I28" s="197"/>
      <c r="J28" s="199"/>
      <c r="K28" s="199"/>
      <c r="L28" s="209"/>
      <c r="O28" s="201"/>
    </row>
    <row r="29" spans="1:30" ht="20.25" customHeight="1" thickBot="1" x14ac:dyDescent="0.45">
      <c r="A29" s="218" t="s">
        <v>272</v>
      </c>
      <c r="B29" s="219"/>
      <c r="C29" s="219"/>
      <c r="D29" s="219"/>
      <c r="E29" s="220"/>
      <c r="F29" s="219"/>
      <c r="G29" s="219"/>
      <c r="H29" s="219"/>
      <c r="I29" s="219"/>
      <c r="J29" s="221"/>
      <c r="K29" s="221"/>
      <c r="L29" s="222"/>
      <c r="O29" s="201"/>
    </row>
    <row r="30" spans="1:30" ht="18" customHeight="1" x14ac:dyDescent="0.4">
      <c r="A30" s="5"/>
      <c r="B30" s="223"/>
      <c r="C30" s="223"/>
      <c r="D30" s="223"/>
      <c r="E30" s="224"/>
      <c r="F30" s="223"/>
      <c r="G30" s="223"/>
      <c r="H30" s="223"/>
      <c r="I30" s="223"/>
      <c r="J30" s="225"/>
      <c r="K30" s="225"/>
      <c r="L30" s="225"/>
      <c r="O30" s="201"/>
    </row>
  </sheetData>
  <mergeCells count="2">
    <mergeCell ref="G3:H3"/>
    <mergeCell ref="J12:J13"/>
  </mergeCells>
  <dataValidations count="10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H8 I9 K8 I3">
      <formula1>"Y, N"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eforeFillOutPush">
                <anchor moveWithCells="1" sizeWithCells="1">
                  <from>
                    <xdr:col>29</xdr:col>
                    <xdr:colOff>1737360</xdr:colOff>
                    <xdr:row>5</xdr:row>
                    <xdr:rowOff>228600</xdr:rowOff>
                  </from>
                  <to>
                    <xdr:col>29</xdr:col>
                    <xdr:colOff>6042660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view="pageBreakPreview" zoomScale="85" zoomScaleNormal="85" zoomScaleSheetLayoutView="85" zoomScalePageLayoutView="85" workbookViewId="0">
      <selection activeCell="G2" sqref="G2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11" s="2" customFormat="1" ht="41.25" customHeight="1" x14ac:dyDescent="0.3">
      <c r="A1" s="420" t="s">
        <v>303</v>
      </c>
      <c r="B1" s="420"/>
      <c r="C1" s="420"/>
      <c r="D1" s="421" t="s">
        <v>304</v>
      </c>
      <c r="E1" s="422"/>
      <c r="F1" s="347" t="s">
        <v>560</v>
      </c>
      <c r="G1" s="334" t="s">
        <v>560</v>
      </c>
      <c r="H1" s="26"/>
      <c r="I1" s="26"/>
      <c r="J1" s="26"/>
      <c r="K1" s="26"/>
    </row>
    <row r="2" spans="1:11" s="2" customFormat="1" ht="41.25" customHeight="1" x14ac:dyDescent="0.3">
      <c r="A2" s="361"/>
      <c r="B2" s="247"/>
      <c r="C2" s="244"/>
      <c r="D2" s="362"/>
      <c r="E2" s="245"/>
      <c r="F2" s="363"/>
      <c r="G2" s="364"/>
      <c r="H2" s="26"/>
      <c r="I2" s="26"/>
      <c r="J2" s="26"/>
      <c r="K2" s="26"/>
    </row>
    <row r="3" spans="1:11" s="2" customFormat="1" ht="41.25" customHeight="1" x14ac:dyDescent="0.3">
      <c r="A3" s="248"/>
      <c r="B3" s="244"/>
      <c r="C3" s="244" t="s">
        <v>311</v>
      </c>
      <c r="D3" s="246"/>
      <c r="E3" s="247" t="s">
        <v>311</v>
      </c>
      <c r="F3" s="352"/>
      <c r="G3" s="353"/>
      <c r="H3" s="26"/>
      <c r="I3" s="26"/>
      <c r="J3" s="26"/>
      <c r="K3" s="26"/>
    </row>
    <row r="4" spans="1:11" s="2" customFormat="1" ht="18" customHeight="1" x14ac:dyDescent="0.3">
      <c r="A4" s="349" t="s">
        <v>81</v>
      </c>
      <c r="B4" s="53"/>
      <c r="C4" s="53"/>
      <c r="D4" s="42" t="s">
        <v>82</v>
      </c>
      <c r="E4" s="54"/>
      <c r="F4" s="348" t="s">
        <v>563</v>
      </c>
      <c r="G4" s="333" t="s">
        <v>561</v>
      </c>
      <c r="H4" s="26"/>
      <c r="I4" s="26"/>
      <c r="J4" s="26"/>
      <c r="K4" s="26"/>
    </row>
    <row r="5" spans="1:11" s="2" customFormat="1" ht="18" customHeight="1" x14ac:dyDescent="0.3">
      <c r="A5" s="350" t="s">
        <v>17</v>
      </c>
      <c r="B5" s="1"/>
      <c r="C5" s="1"/>
      <c r="D5" s="41" t="s">
        <v>83</v>
      </c>
      <c r="E5" s="44"/>
      <c r="F5" s="348" t="s">
        <v>564</v>
      </c>
      <c r="G5" s="333" t="s">
        <v>562</v>
      </c>
      <c r="H5" s="26"/>
      <c r="I5" s="26"/>
      <c r="J5" s="26"/>
      <c r="K5" s="26"/>
    </row>
    <row r="6" spans="1:11" s="2" customFormat="1" ht="18" customHeight="1" x14ac:dyDescent="0.3">
      <c r="A6" s="350" t="s">
        <v>94</v>
      </c>
      <c r="B6" s="1"/>
      <c r="C6" s="1"/>
      <c r="D6" s="41" t="s">
        <v>84</v>
      </c>
      <c r="E6" s="44"/>
      <c r="F6" s="348" t="s">
        <v>629</v>
      </c>
      <c r="G6" s="333" t="s">
        <v>563</v>
      </c>
      <c r="H6" s="26"/>
      <c r="I6" s="26"/>
      <c r="J6" s="26"/>
      <c r="K6" s="26"/>
    </row>
    <row r="7" spans="1:11" s="2" customFormat="1" ht="18" customHeight="1" x14ac:dyDescent="0.3">
      <c r="A7" s="350" t="s">
        <v>104</v>
      </c>
      <c r="B7" s="1"/>
      <c r="C7" s="1"/>
      <c r="D7" s="41" t="s">
        <v>85</v>
      </c>
      <c r="E7" s="44"/>
      <c r="F7" s="348" t="s">
        <v>17</v>
      </c>
      <c r="G7" s="333" t="s">
        <v>564</v>
      </c>
      <c r="H7" s="26"/>
      <c r="I7" s="26"/>
      <c r="J7" s="26"/>
      <c r="K7" s="26"/>
    </row>
    <row r="8" spans="1:11" s="2" customFormat="1" ht="18" customHeight="1" x14ac:dyDescent="0.3">
      <c r="A8" s="350" t="s">
        <v>111</v>
      </c>
      <c r="B8" s="1"/>
      <c r="C8" s="1"/>
      <c r="D8" s="41" t="s">
        <v>86</v>
      </c>
      <c r="E8" s="44"/>
      <c r="F8" s="348" t="s">
        <v>630</v>
      </c>
      <c r="G8" s="333" t="s">
        <v>565</v>
      </c>
      <c r="H8" s="26"/>
      <c r="I8" s="26"/>
      <c r="J8" s="26"/>
      <c r="K8" s="26"/>
    </row>
    <row r="9" spans="1:11" s="2" customFormat="1" ht="18" customHeight="1" x14ac:dyDescent="0.3">
      <c r="A9" s="350" t="s">
        <v>116</v>
      </c>
      <c r="B9" s="43"/>
      <c r="C9" s="43"/>
      <c r="D9" s="31" t="s">
        <v>87</v>
      </c>
      <c r="E9" s="55"/>
      <c r="F9" s="348" t="s">
        <v>631</v>
      </c>
      <c r="G9" s="333" t="s">
        <v>566</v>
      </c>
      <c r="H9" s="26"/>
      <c r="I9" s="26"/>
      <c r="J9" s="26"/>
      <c r="K9" s="26"/>
    </row>
    <row r="10" spans="1:11" s="2" customFormat="1" ht="18" customHeight="1" x14ac:dyDescent="0.3">
      <c r="A10" s="350" t="s">
        <v>120</v>
      </c>
      <c r="B10" s="53"/>
      <c r="C10" s="53"/>
      <c r="D10" s="42" t="s">
        <v>88</v>
      </c>
      <c r="E10" s="54"/>
      <c r="F10" s="348" t="s">
        <v>632</v>
      </c>
      <c r="G10" s="333" t="s">
        <v>567</v>
      </c>
      <c r="H10" s="26"/>
      <c r="I10" s="26"/>
      <c r="J10" s="26"/>
      <c r="K10" s="26"/>
    </row>
    <row r="11" spans="1:11" s="2" customFormat="1" ht="18" customHeight="1" x14ac:dyDescent="0.3">
      <c r="A11" s="350" t="s">
        <v>123</v>
      </c>
      <c r="B11" s="1"/>
      <c r="C11" s="1"/>
      <c r="D11" s="41" t="s">
        <v>89</v>
      </c>
      <c r="E11" s="44"/>
      <c r="F11" s="348" t="s">
        <v>633</v>
      </c>
      <c r="G11" s="333" t="s">
        <v>568</v>
      </c>
      <c r="H11" s="26"/>
      <c r="I11" s="26"/>
      <c r="J11" s="26"/>
      <c r="K11" s="26"/>
    </row>
    <row r="12" spans="1:11" s="2" customFormat="1" ht="18" customHeight="1" x14ac:dyDescent="0.3">
      <c r="A12" s="350" t="s">
        <v>191</v>
      </c>
      <c r="B12" s="1"/>
      <c r="C12" s="1"/>
      <c r="D12" s="41" t="s">
        <v>90</v>
      </c>
      <c r="E12" s="44"/>
      <c r="F12" s="348" t="s">
        <v>574</v>
      </c>
      <c r="G12" s="333" t="s">
        <v>569</v>
      </c>
      <c r="H12" s="26"/>
      <c r="I12" s="26"/>
      <c r="J12" s="26"/>
      <c r="K12" s="26"/>
    </row>
    <row r="13" spans="1:11" s="2" customFormat="1" ht="18" customHeight="1" x14ac:dyDescent="0.3">
      <c r="A13" s="351"/>
      <c r="B13" s="1"/>
      <c r="C13" s="1"/>
      <c r="D13" s="41" t="s">
        <v>91</v>
      </c>
      <c r="E13" s="44"/>
      <c r="F13" s="348" t="s">
        <v>575</v>
      </c>
      <c r="G13" s="333" t="s">
        <v>570</v>
      </c>
      <c r="H13" s="26"/>
      <c r="I13" s="26"/>
      <c r="J13" s="26"/>
      <c r="K13" s="26"/>
    </row>
    <row r="14" spans="1:11" s="2" customFormat="1" ht="18" customHeight="1" x14ac:dyDescent="0.3">
      <c r="A14" s="351"/>
      <c r="B14" s="1"/>
      <c r="C14" s="1"/>
      <c r="D14" s="41" t="s">
        <v>92</v>
      </c>
      <c r="E14" s="44"/>
      <c r="F14" s="348" t="s">
        <v>562</v>
      </c>
      <c r="G14" s="333" t="s">
        <v>571</v>
      </c>
      <c r="H14" s="26"/>
      <c r="I14" s="26"/>
      <c r="J14" s="26"/>
      <c r="K14" s="26"/>
    </row>
    <row r="15" spans="1:11" s="2" customFormat="1" ht="18" customHeight="1" x14ac:dyDescent="0.3">
      <c r="A15" s="351"/>
      <c r="B15" s="43"/>
      <c r="C15" s="43"/>
      <c r="D15" s="31" t="s">
        <v>93</v>
      </c>
      <c r="E15" s="55"/>
      <c r="F15" s="348" t="s">
        <v>91</v>
      </c>
      <c r="G15" s="333" t="s">
        <v>1</v>
      </c>
      <c r="H15" s="26"/>
      <c r="I15" s="26"/>
      <c r="J15" s="26"/>
      <c r="K15" s="26"/>
    </row>
    <row r="16" spans="1:11" s="2" customFormat="1" ht="18" customHeight="1" x14ac:dyDescent="0.3">
      <c r="A16" s="351"/>
      <c r="B16" s="53"/>
      <c r="C16" s="53"/>
      <c r="D16" s="42" t="s">
        <v>95</v>
      </c>
      <c r="E16" s="54"/>
      <c r="F16" s="348" t="s">
        <v>1</v>
      </c>
      <c r="G16" s="333" t="s">
        <v>572</v>
      </c>
      <c r="H16" s="26"/>
      <c r="I16" s="26"/>
      <c r="J16" s="26"/>
      <c r="K16" s="26"/>
    </row>
    <row r="17" spans="1:11" s="2" customFormat="1" ht="18" customHeight="1" x14ac:dyDescent="0.3">
      <c r="A17" s="351"/>
      <c r="B17" s="1"/>
      <c r="C17" s="1"/>
      <c r="D17" s="41" t="s">
        <v>96</v>
      </c>
      <c r="E17" s="44"/>
      <c r="F17" s="348"/>
      <c r="G17" s="333" t="s">
        <v>573</v>
      </c>
      <c r="H17" s="26"/>
      <c r="I17" s="26"/>
      <c r="J17" s="26"/>
      <c r="K17" s="26"/>
    </row>
    <row r="18" spans="1:11" s="2" customFormat="1" ht="18" customHeight="1" x14ac:dyDescent="0.3">
      <c r="A18" s="351"/>
      <c r="B18" s="1"/>
      <c r="C18" s="1"/>
      <c r="D18" s="41" t="s">
        <v>97</v>
      </c>
      <c r="E18" s="44"/>
      <c r="F18" s="348"/>
      <c r="G18" s="333" t="s">
        <v>574</v>
      </c>
      <c r="H18" s="26"/>
      <c r="I18" s="26"/>
      <c r="J18" s="26"/>
      <c r="K18" s="26"/>
    </row>
    <row r="19" spans="1:11" s="2" customFormat="1" ht="18" customHeight="1" x14ac:dyDescent="0.3">
      <c r="A19" s="351"/>
      <c r="B19" s="1"/>
      <c r="C19" s="1"/>
      <c r="D19" s="41" t="s">
        <v>98</v>
      </c>
      <c r="E19" s="44"/>
      <c r="F19" s="348"/>
      <c r="G19" s="333" t="s">
        <v>575</v>
      </c>
      <c r="H19" s="26"/>
      <c r="I19" s="26"/>
      <c r="J19" s="26"/>
      <c r="K19" s="26"/>
    </row>
    <row r="20" spans="1:11" s="2" customFormat="1" ht="18" customHeight="1" x14ac:dyDescent="0.3">
      <c r="A20" s="351"/>
      <c r="B20" s="1"/>
      <c r="C20" s="1"/>
      <c r="D20" s="41" t="s">
        <v>91</v>
      </c>
      <c r="E20" s="44"/>
      <c r="F20" s="348"/>
      <c r="G20" s="333" t="s">
        <v>91</v>
      </c>
      <c r="H20" s="26"/>
      <c r="I20" s="26"/>
      <c r="J20" s="26"/>
      <c r="K20" s="26"/>
    </row>
    <row r="21" spans="1:11" s="2" customFormat="1" ht="18" customHeight="1" x14ac:dyDescent="0.3">
      <c r="A21" s="351"/>
      <c r="B21" s="1"/>
      <c r="C21" s="1"/>
      <c r="D21" s="41" t="s">
        <v>99</v>
      </c>
      <c r="E21" s="44"/>
      <c r="F21" s="348"/>
      <c r="G21" s="333"/>
      <c r="H21" s="26"/>
      <c r="I21" s="26"/>
      <c r="J21" s="26"/>
      <c r="K21" s="26"/>
    </row>
    <row r="22" spans="1:11" s="2" customFormat="1" ht="18" customHeight="1" x14ac:dyDescent="0.3">
      <c r="A22" s="351"/>
      <c r="B22" s="1"/>
      <c r="C22" s="1"/>
      <c r="D22" s="41" t="s">
        <v>100</v>
      </c>
      <c r="E22" s="44"/>
      <c r="F22" s="348"/>
      <c r="G22" s="333"/>
      <c r="H22" s="26"/>
      <c r="I22" s="26"/>
      <c r="J22" s="26"/>
      <c r="K22" s="26"/>
    </row>
    <row r="23" spans="1:11" s="2" customFormat="1" ht="18" customHeight="1" x14ac:dyDescent="0.3">
      <c r="A23" s="351"/>
      <c r="B23" s="1"/>
      <c r="C23" s="1"/>
      <c r="D23" s="41" t="s">
        <v>101</v>
      </c>
      <c r="E23" s="44"/>
      <c r="F23" s="348"/>
      <c r="G23" s="333"/>
      <c r="H23" s="26"/>
      <c r="I23" s="26"/>
      <c r="J23" s="26"/>
      <c r="K23" s="26"/>
    </row>
    <row r="24" spans="1:11" s="2" customFormat="1" ht="18" customHeight="1" x14ac:dyDescent="0.3">
      <c r="A24" s="351"/>
      <c r="B24" s="1"/>
      <c r="C24" s="1"/>
      <c r="D24" s="41" t="s">
        <v>102</v>
      </c>
      <c r="E24" s="44"/>
      <c r="F24" s="348"/>
      <c r="G24" s="333"/>
      <c r="H24" s="26"/>
      <c r="I24" s="26"/>
      <c r="J24" s="26"/>
      <c r="K24" s="26"/>
    </row>
    <row r="25" spans="1:11" s="2" customFormat="1" ht="18" customHeight="1" x14ac:dyDescent="0.3">
      <c r="A25" s="351"/>
      <c r="B25" s="43"/>
      <c r="C25" s="43"/>
      <c r="D25" s="31" t="s">
        <v>103</v>
      </c>
      <c r="E25" s="55"/>
      <c r="F25" s="348"/>
      <c r="G25" s="333"/>
      <c r="H25" s="26"/>
      <c r="I25" s="26"/>
      <c r="J25" s="26"/>
      <c r="K25" s="26"/>
    </row>
    <row r="26" spans="1:11" s="2" customFormat="1" ht="18" customHeight="1" x14ac:dyDescent="0.3">
      <c r="A26" s="351"/>
      <c r="B26" s="53"/>
      <c r="C26" s="53"/>
      <c r="D26" s="42" t="s">
        <v>105</v>
      </c>
      <c r="E26" s="54"/>
      <c r="F26" s="348"/>
      <c r="G26" s="333"/>
      <c r="H26" s="26"/>
      <c r="I26" s="26"/>
      <c r="J26" s="26"/>
      <c r="K26" s="26"/>
    </row>
    <row r="27" spans="1:11" s="2" customFormat="1" ht="18" customHeight="1" x14ac:dyDescent="0.3">
      <c r="A27" s="351"/>
      <c r="B27" s="1"/>
      <c r="C27" s="1"/>
      <c r="D27" s="41" t="s">
        <v>99</v>
      </c>
      <c r="E27" s="44"/>
      <c r="F27" s="348"/>
      <c r="G27" s="333"/>
      <c r="H27" s="26"/>
      <c r="I27" s="26"/>
      <c r="J27" s="26"/>
      <c r="K27" s="26"/>
    </row>
    <row r="28" spans="1:11" s="2" customFormat="1" ht="18" customHeight="1" x14ac:dyDescent="0.3">
      <c r="A28" s="351"/>
      <c r="B28" s="1"/>
      <c r="C28" s="1"/>
      <c r="D28" s="41" t="s">
        <v>106</v>
      </c>
      <c r="E28" s="44"/>
      <c r="F28" s="348"/>
      <c r="G28" s="333"/>
      <c r="H28" s="26"/>
      <c r="I28" s="26"/>
      <c r="J28" s="26"/>
      <c r="K28" s="26"/>
    </row>
    <row r="29" spans="1:11" s="2" customFormat="1" ht="18" customHeight="1" x14ac:dyDescent="0.3">
      <c r="A29" s="351"/>
      <c r="B29" s="1"/>
      <c r="C29" s="1"/>
      <c r="D29" s="41" t="s">
        <v>107</v>
      </c>
      <c r="E29" s="44"/>
      <c r="F29" s="348"/>
      <c r="G29" s="333"/>
      <c r="H29" s="26"/>
      <c r="I29" s="26"/>
      <c r="J29" s="26"/>
      <c r="K29" s="26"/>
    </row>
    <row r="30" spans="1:11" s="2" customFormat="1" ht="18" customHeight="1" x14ac:dyDescent="0.3">
      <c r="A30" s="351"/>
      <c r="B30" s="1"/>
      <c r="C30" s="1"/>
      <c r="D30" s="41" t="s">
        <v>108</v>
      </c>
      <c r="E30" s="44"/>
      <c r="F30" s="348"/>
      <c r="G30" s="333"/>
      <c r="H30" s="26"/>
      <c r="I30" s="26"/>
      <c r="J30" s="26"/>
      <c r="K30" s="26"/>
    </row>
    <row r="31" spans="1:11" s="2" customFormat="1" ht="18" customHeight="1" x14ac:dyDescent="0.3">
      <c r="A31" s="351"/>
      <c r="B31" s="1"/>
      <c r="C31" s="1"/>
      <c r="D31" s="41" t="s">
        <v>109</v>
      </c>
      <c r="E31" s="44"/>
      <c r="F31" s="348"/>
      <c r="G31" s="333"/>
      <c r="H31" s="26"/>
      <c r="I31" s="26"/>
      <c r="J31" s="26"/>
      <c r="K31" s="26"/>
    </row>
    <row r="32" spans="1:11" s="2" customFormat="1" ht="18" customHeight="1" x14ac:dyDescent="0.3">
      <c r="A32" s="351"/>
      <c r="B32" s="1"/>
      <c r="C32" s="1"/>
      <c r="D32" s="41" t="s">
        <v>110</v>
      </c>
      <c r="E32" s="44"/>
      <c r="F32" s="348"/>
      <c r="G32" s="333"/>
      <c r="H32" s="26"/>
      <c r="I32" s="26"/>
      <c r="J32" s="26"/>
      <c r="K32" s="26"/>
    </row>
    <row r="33" spans="1:11" s="2" customFormat="1" ht="18" customHeight="1" x14ac:dyDescent="0.3">
      <c r="A33" s="351"/>
      <c r="B33" s="43"/>
      <c r="C33" s="43"/>
      <c r="D33" s="31" t="s">
        <v>103</v>
      </c>
      <c r="E33" s="55"/>
      <c r="F33" s="348"/>
      <c r="G33" s="333"/>
      <c r="H33" s="26"/>
      <c r="I33" s="26"/>
      <c r="J33" s="26"/>
      <c r="K33" s="26"/>
    </row>
    <row r="34" spans="1:11" s="2" customFormat="1" ht="18" customHeight="1" x14ac:dyDescent="0.3">
      <c r="A34" s="351"/>
      <c r="B34" s="53"/>
      <c r="C34" s="53"/>
      <c r="D34" s="42" t="s">
        <v>112</v>
      </c>
      <c r="E34" s="54"/>
      <c r="F34" s="348"/>
      <c r="G34" s="333"/>
      <c r="H34" s="26"/>
      <c r="I34" s="26"/>
      <c r="J34" s="26"/>
      <c r="K34" s="26"/>
    </row>
    <row r="35" spans="1:11" s="2" customFormat="1" ht="18" customHeight="1" x14ac:dyDescent="0.3">
      <c r="A35" s="351"/>
      <c r="B35" s="1"/>
      <c r="C35" s="1"/>
      <c r="D35" s="41" t="s">
        <v>113</v>
      </c>
      <c r="E35" s="44"/>
      <c r="F35" s="348"/>
      <c r="G35" s="333"/>
      <c r="H35" s="26"/>
      <c r="I35" s="26"/>
      <c r="J35" s="26"/>
      <c r="K35" s="26"/>
    </row>
    <row r="36" spans="1:11" s="2" customFormat="1" ht="18" customHeight="1" x14ac:dyDescent="0.3">
      <c r="A36" s="351"/>
      <c r="B36" s="1"/>
      <c r="C36" s="1"/>
      <c r="D36" s="41" t="s">
        <v>114</v>
      </c>
      <c r="E36" s="44"/>
      <c r="F36" s="348"/>
      <c r="G36" s="333"/>
      <c r="H36" s="26"/>
      <c r="I36" s="26"/>
      <c r="J36" s="26"/>
      <c r="K36" s="26"/>
    </row>
    <row r="37" spans="1:11" s="2" customFormat="1" ht="18" customHeight="1" x14ac:dyDescent="0.3">
      <c r="A37" s="351"/>
      <c r="B37" s="43"/>
      <c r="C37" s="43"/>
      <c r="D37" s="31" t="s">
        <v>115</v>
      </c>
      <c r="E37" s="55"/>
      <c r="F37" s="348"/>
      <c r="G37" s="333"/>
      <c r="H37" s="26"/>
      <c r="I37" s="26"/>
      <c r="J37" s="26"/>
      <c r="K37" s="26"/>
    </row>
    <row r="38" spans="1:11" s="2" customFormat="1" ht="18" customHeight="1" x14ac:dyDescent="0.3">
      <c r="A38" s="351"/>
      <c r="B38" s="53"/>
      <c r="C38" s="53"/>
      <c r="D38" s="42" t="s">
        <v>117</v>
      </c>
      <c r="E38" s="54"/>
      <c r="F38" s="348"/>
      <c r="G38" s="333"/>
      <c r="H38" s="26"/>
      <c r="I38" s="26"/>
      <c r="J38" s="26"/>
      <c r="K38" s="26"/>
    </row>
    <row r="39" spans="1:11" s="2" customFormat="1" ht="18" customHeight="1" x14ac:dyDescent="0.3">
      <c r="A39" s="351"/>
      <c r="B39" s="1"/>
      <c r="C39" s="1"/>
      <c r="D39" s="41" t="s">
        <v>118</v>
      </c>
      <c r="E39" s="44"/>
      <c r="F39" s="348"/>
      <c r="G39" s="333"/>
      <c r="H39" s="26"/>
      <c r="I39" s="26"/>
      <c r="J39" s="26"/>
      <c r="K39" s="26"/>
    </row>
    <row r="40" spans="1:11" s="2" customFormat="1" ht="18" customHeight="1" x14ac:dyDescent="0.3">
      <c r="A40" s="351"/>
      <c r="B40" s="43"/>
      <c r="C40" s="43"/>
      <c r="D40" s="31" t="s">
        <v>119</v>
      </c>
      <c r="E40" s="55"/>
      <c r="F40" s="348"/>
      <c r="G40" s="333"/>
      <c r="H40" s="26"/>
      <c r="I40" s="26"/>
      <c r="J40" s="26"/>
      <c r="K40" s="26"/>
    </row>
    <row r="41" spans="1:11" s="2" customFormat="1" ht="18" customHeight="1" x14ac:dyDescent="0.3">
      <c r="A41" s="351"/>
      <c r="B41" s="53"/>
      <c r="C41" s="53"/>
      <c r="D41" s="42" t="s">
        <v>121</v>
      </c>
      <c r="E41" s="54"/>
      <c r="F41" s="348"/>
      <c r="G41" s="333"/>
      <c r="H41" s="26"/>
      <c r="I41" s="26"/>
      <c r="J41" s="26"/>
      <c r="K41" s="26"/>
    </row>
    <row r="42" spans="1:11" s="2" customFormat="1" ht="18" customHeight="1" x14ac:dyDescent="0.3">
      <c r="A42" s="351"/>
      <c r="B42" s="43"/>
      <c r="C42" s="43"/>
      <c r="D42" s="31" t="s">
        <v>122</v>
      </c>
      <c r="E42" s="55"/>
      <c r="F42" s="348"/>
      <c r="G42" s="333"/>
      <c r="H42" s="26"/>
      <c r="I42" s="26"/>
      <c r="J42" s="26"/>
      <c r="K42" s="26"/>
    </row>
    <row r="43" spans="1:11" s="2" customFormat="1" ht="18" customHeight="1" x14ac:dyDescent="0.3">
      <c r="A43" s="351"/>
      <c r="B43" s="53"/>
      <c r="C43" s="53"/>
      <c r="D43" s="42" t="s">
        <v>124</v>
      </c>
      <c r="E43" s="54"/>
      <c r="F43" s="348"/>
      <c r="G43" s="333"/>
      <c r="H43" s="26"/>
      <c r="I43" s="26"/>
      <c r="J43" s="26"/>
      <c r="K43" s="26"/>
    </row>
    <row r="44" spans="1:11" s="2" customFormat="1" ht="18" customHeight="1" x14ac:dyDescent="0.3">
      <c r="A44" s="351"/>
      <c r="B44" s="1"/>
      <c r="C44" s="1"/>
      <c r="D44" s="41" t="s">
        <v>125</v>
      </c>
      <c r="E44" s="44"/>
      <c r="F44" s="348"/>
      <c r="G44" s="333"/>
      <c r="H44" s="26"/>
      <c r="I44" s="26"/>
      <c r="J44" s="26"/>
      <c r="K44" s="26"/>
    </row>
    <row r="45" spans="1:11" s="2" customFormat="1" ht="18" customHeight="1" x14ac:dyDescent="0.3">
      <c r="A45" s="351"/>
      <c r="B45" s="1"/>
      <c r="C45" s="1"/>
      <c r="D45" s="41" t="s">
        <v>126</v>
      </c>
      <c r="E45" s="44"/>
      <c r="F45" s="348"/>
      <c r="G45" s="333"/>
      <c r="H45" s="26"/>
      <c r="I45" s="26"/>
      <c r="J45"/>
      <c r="K45"/>
    </row>
    <row r="46" spans="1:11" s="2" customFormat="1" ht="18" customHeight="1" x14ac:dyDescent="0.3">
      <c r="A46" s="351"/>
      <c r="B46" s="43"/>
      <c r="C46" s="43"/>
      <c r="D46" s="31" t="s">
        <v>127</v>
      </c>
      <c r="E46" s="55"/>
      <c r="F46" s="348"/>
      <c r="G46" s="333"/>
      <c r="H46" s="26"/>
      <c r="I46" s="26"/>
      <c r="J46"/>
      <c r="K46"/>
    </row>
    <row r="47" spans="1:11" s="2" customFormat="1" ht="18" customHeight="1" x14ac:dyDescent="0.3">
      <c r="A47" s="351"/>
      <c r="B47" s="41"/>
      <c r="C47" s="41"/>
      <c r="D47" s="41"/>
      <c r="E47" s="44"/>
      <c r="F47" s="348"/>
      <c r="G47" s="333"/>
      <c r="H47" s="26"/>
      <c r="I47" s="26"/>
      <c r="J47"/>
      <c r="K47"/>
    </row>
    <row r="48" spans="1:11" s="2" customFormat="1" ht="18" customHeight="1" thickBot="1" x14ac:dyDescent="0.35">
      <c r="A48" s="351"/>
      <c r="B48" s="45"/>
      <c r="C48" s="45"/>
      <c r="D48" s="45"/>
      <c r="E48" s="46"/>
      <c r="F48" s="348"/>
      <c r="G48" s="333"/>
      <c r="H48" s="26"/>
      <c r="I48" s="26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G2">
      <formula1>$G$3:$G$20</formula1>
    </dataValidation>
    <dataValidation type="list" allowBlank="1" showInputMessage="1" showErrorMessage="1" sqref="F2">
      <formula1>$F$3:$F$16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view="pageBreakPreview" zoomScale="58" zoomScaleNormal="100" zoomScaleSheetLayoutView="58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8.44140625" customWidth="1"/>
    <col min="9" max="9" width="12.33203125" customWidth="1"/>
    <col min="10" max="10" width="9.5546875" customWidth="1"/>
    <col min="11" max="11" width="17.109375" customWidth="1"/>
    <col min="12" max="12" width="11" customWidth="1"/>
    <col min="13" max="13" width="22.6640625" customWidth="1"/>
  </cols>
  <sheetData>
    <row r="1" spans="1:13" s="3" customFormat="1" ht="204" customHeight="1" thickBot="1" x14ac:dyDescent="0.35">
      <c r="A1" s="300" t="s">
        <v>269</v>
      </c>
      <c r="B1" s="301" t="s">
        <v>263</v>
      </c>
      <c r="C1" s="75" t="s">
        <v>285</v>
      </c>
      <c r="D1" s="75" t="s">
        <v>279</v>
      </c>
      <c r="E1" s="75" t="s">
        <v>322</v>
      </c>
      <c r="F1" s="75" t="s">
        <v>281</v>
      </c>
      <c r="G1" s="75" t="s">
        <v>280</v>
      </c>
      <c r="H1" s="75" t="s">
        <v>267</v>
      </c>
      <c r="I1" s="75" t="s">
        <v>264</v>
      </c>
      <c r="J1" s="75" t="s">
        <v>282</v>
      </c>
      <c r="K1" s="75" t="s">
        <v>283</v>
      </c>
      <c r="L1" s="75" t="s">
        <v>284</v>
      </c>
      <c r="M1" s="77" t="s">
        <v>274</v>
      </c>
    </row>
    <row r="2" spans="1:13" s="3" customFormat="1" ht="48.75" customHeight="1" x14ac:dyDescent="0.4">
      <c r="A2" s="423" t="s">
        <v>7</v>
      </c>
      <c r="B2" s="67" t="s">
        <v>4</v>
      </c>
      <c r="C2" s="278"/>
      <c r="D2" s="371"/>
      <c r="E2" s="279"/>
      <c r="F2" s="279"/>
      <c r="G2" s="280"/>
      <c r="H2" s="365"/>
      <c r="I2" s="365"/>
      <c r="J2" s="366"/>
      <c r="K2" s="281"/>
      <c r="L2" s="281"/>
      <c r="M2" s="282"/>
    </row>
    <row r="3" spans="1:13" s="3" customFormat="1" ht="48.75" customHeight="1" x14ac:dyDescent="0.4">
      <c r="A3" s="423"/>
      <c r="B3" s="60" t="s">
        <v>4</v>
      </c>
      <c r="C3" s="283"/>
      <c r="D3" s="372"/>
      <c r="E3" s="284"/>
      <c r="F3" s="284"/>
      <c r="G3" s="285"/>
      <c r="H3" s="367"/>
      <c r="I3" s="367"/>
      <c r="J3" s="368"/>
      <c r="K3" s="286"/>
      <c r="L3" s="281"/>
      <c r="M3" s="287"/>
    </row>
    <row r="4" spans="1:13" s="3" customFormat="1" ht="48.75" customHeight="1" x14ac:dyDescent="0.4">
      <c r="A4" s="423"/>
      <c r="B4" s="60" t="s">
        <v>4</v>
      </c>
      <c r="C4" s="283"/>
      <c r="D4" s="372"/>
      <c r="E4" s="284"/>
      <c r="F4" s="284"/>
      <c r="G4" s="285"/>
      <c r="H4" s="367"/>
      <c r="I4" s="367"/>
      <c r="J4" s="368"/>
      <c r="K4" s="286"/>
      <c r="L4" s="281"/>
      <c r="M4" s="287"/>
    </row>
    <row r="5" spans="1:13" s="3" customFormat="1" ht="48.75" customHeight="1" x14ac:dyDescent="0.4">
      <c r="A5" s="423"/>
      <c r="B5" s="60" t="s">
        <v>8</v>
      </c>
      <c r="C5" s="283"/>
      <c r="D5" s="372"/>
      <c r="E5" s="284"/>
      <c r="F5" s="284"/>
      <c r="G5" s="285"/>
      <c r="H5" s="367"/>
      <c r="I5" s="367"/>
      <c r="J5" s="368"/>
      <c r="K5" s="286"/>
      <c r="L5" s="281"/>
      <c r="M5" s="287"/>
    </row>
    <row r="6" spans="1:13" s="3" customFormat="1" ht="48.75" customHeight="1" x14ac:dyDescent="0.4">
      <c r="A6" s="423"/>
      <c r="B6" s="60" t="s">
        <v>8</v>
      </c>
      <c r="C6" s="283"/>
      <c r="D6" s="372"/>
      <c r="E6" s="284"/>
      <c r="F6" s="284"/>
      <c r="G6" s="285"/>
      <c r="H6" s="367"/>
      <c r="I6" s="367"/>
      <c r="J6" s="368"/>
      <c r="K6" s="286"/>
      <c r="L6" s="281"/>
      <c r="M6" s="287"/>
    </row>
    <row r="7" spans="1:13" s="3" customFormat="1" ht="48.75" customHeight="1" x14ac:dyDescent="0.4">
      <c r="A7" s="423"/>
      <c r="B7" s="60" t="s">
        <v>9</v>
      </c>
      <c r="C7" s="283"/>
      <c r="D7" s="372"/>
      <c r="E7" s="284"/>
      <c r="F7" s="284"/>
      <c r="G7" s="285"/>
      <c r="H7" s="367"/>
      <c r="I7" s="367"/>
      <c r="J7" s="368"/>
      <c r="K7" s="286"/>
      <c r="L7" s="281"/>
      <c r="M7" s="287"/>
    </row>
    <row r="8" spans="1:13" s="3" customFormat="1" ht="48.75" customHeight="1" x14ac:dyDescent="0.4">
      <c r="A8" s="423"/>
      <c r="B8" s="60" t="s">
        <v>9</v>
      </c>
      <c r="C8" s="283"/>
      <c r="D8" s="372"/>
      <c r="E8" s="284"/>
      <c r="F8" s="284"/>
      <c r="G8" s="285"/>
      <c r="H8" s="367"/>
      <c r="I8" s="367"/>
      <c r="J8" s="368"/>
      <c r="K8" s="286"/>
      <c r="L8" s="281"/>
      <c r="M8" s="287"/>
    </row>
    <row r="9" spans="1:13" s="3" customFormat="1" ht="48.75" customHeight="1" x14ac:dyDescent="0.4">
      <c r="A9" s="423"/>
      <c r="B9" s="60" t="s">
        <v>268</v>
      </c>
      <c r="C9" s="283"/>
      <c r="D9" s="372"/>
      <c r="E9" s="284"/>
      <c r="F9" s="284"/>
      <c r="G9" s="285"/>
      <c r="H9" s="367"/>
      <c r="I9" s="367"/>
      <c r="J9" s="368"/>
      <c r="K9" s="286"/>
      <c r="L9" s="281"/>
      <c r="M9" s="287"/>
    </row>
    <row r="10" spans="1:13" s="2" customFormat="1" ht="48.75" customHeight="1" x14ac:dyDescent="0.4">
      <c r="A10" s="423"/>
      <c r="B10" s="60" t="s">
        <v>268</v>
      </c>
      <c r="C10" s="283"/>
      <c r="D10" s="372"/>
      <c r="E10" s="284"/>
      <c r="F10" s="288"/>
      <c r="G10" s="289"/>
      <c r="H10" s="359"/>
      <c r="I10" s="359"/>
      <c r="J10" s="368"/>
      <c r="K10" s="286"/>
      <c r="L10" s="281"/>
      <c r="M10" s="290"/>
    </row>
    <row r="11" spans="1:13" s="2" customFormat="1" ht="48.75" customHeight="1" thickBot="1" x14ac:dyDescent="0.45">
      <c r="A11" s="424"/>
      <c r="B11" s="63" t="s">
        <v>42</v>
      </c>
      <c r="C11" s="232"/>
      <c r="D11" s="373"/>
      <c r="E11" s="291"/>
      <c r="F11" s="292"/>
      <c r="G11" s="293"/>
      <c r="H11" s="369"/>
      <c r="I11" s="369"/>
      <c r="J11" s="370"/>
      <c r="K11" s="294"/>
      <c r="L11" s="281"/>
      <c r="M11" s="295"/>
    </row>
  </sheetData>
  <mergeCells count="1">
    <mergeCell ref="A2:A11"/>
  </mergeCells>
  <dataValidations count="5">
    <dataValidation type="list" allowBlank="1" showInputMessage="1" showErrorMessage="1" sqref="D2:D11">
      <formula1>" ,Incandescent, Halogen, CFL, Linear Fluorescent T12/T8/T5, U-Tube, Metal Halide/Pulse-Start, Mercury Vapor, High-Pressure Sodium, LED"</formula1>
    </dataValidation>
    <dataValidation type="list" allowBlank="1" showInputMessage="1" showErrorMessage="1" sqref="E2:E11">
      <formula1>"Magnetic, Electronic, Rapid Start, Instant Start, Programmed Start, Dimmable, Tandem-Wired"</formula1>
    </dataValidation>
    <dataValidation type="list" allowBlank="1" showInputMessage="1" showErrorMessage="1" sqref="F2:F11">
      <formula1>"Screw-In, Mogul, MR-16, bi-pin, recessed pin, GU24, Candelabra"</formula1>
    </dataValidation>
    <dataValidation type="list" allowBlank="1" showInputMessage="1" showErrorMessage="1" sqref="G2:G11">
      <formula1>"A-Lamp, Par20, Par30, Par38, R20, R30, R40"</formula1>
    </dataValidation>
    <dataValidation type="list" allowBlank="1" showInputMessage="1" showErrorMessage="1" sqref="L2:L11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20"/>
  <sheetViews>
    <sheetView view="pageBreakPreview" topLeftCell="A6" zoomScale="55" zoomScaleNormal="100" zoomScaleSheetLayoutView="55" zoomScalePageLayoutView="55" workbookViewId="0">
      <selection activeCell="S2" sqref="S2"/>
    </sheetView>
  </sheetViews>
  <sheetFormatPr defaultRowHeight="14.4" x14ac:dyDescent="0.3"/>
  <cols>
    <col min="1" max="1" width="12.33203125" customWidth="1"/>
    <col min="2" max="3" width="19.44140625" customWidth="1"/>
    <col min="5" max="6" width="23.109375" customWidth="1"/>
    <col min="7" max="7" width="20" customWidth="1"/>
    <col min="8" max="8" width="14.6640625" customWidth="1"/>
    <col min="10" max="11" width="20" customWidth="1"/>
    <col min="12" max="12" width="12.6640625" customWidth="1"/>
    <col min="13" max="13" width="28.5546875" customWidth="1"/>
    <col min="14" max="14" width="23.2187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19" width="30.5546875" customWidth="1"/>
  </cols>
  <sheetData>
    <row r="1" spans="1:38" s="3" customFormat="1" ht="327.75" customHeight="1" thickBot="1" x14ac:dyDescent="0.35">
      <c r="A1" s="229" t="s">
        <v>269</v>
      </c>
      <c r="B1" s="228" t="s">
        <v>263</v>
      </c>
      <c r="C1" s="228" t="s">
        <v>585</v>
      </c>
      <c r="D1" s="230" t="s">
        <v>321</v>
      </c>
      <c r="E1" s="228" t="s">
        <v>298</v>
      </c>
      <c r="F1" s="228" t="s">
        <v>322</v>
      </c>
      <c r="G1" s="228" t="s">
        <v>271</v>
      </c>
      <c r="H1" s="228" t="s">
        <v>273</v>
      </c>
      <c r="I1" s="230" t="s">
        <v>267</v>
      </c>
      <c r="J1" s="228" t="s">
        <v>264</v>
      </c>
      <c r="K1" s="228" t="s">
        <v>323</v>
      </c>
      <c r="L1" s="303" t="s">
        <v>193</v>
      </c>
      <c r="M1" s="228" t="s">
        <v>624</v>
      </c>
      <c r="N1" s="228" t="s">
        <v>270</v>
      </c>
      <c r="O1" s="228" t="s">
        <v>276</v>
      </c>
      <c r="P1" s="230" t="s">
        <v>284</v>
      </c>
      <c r="Q1" s="230" t="s">
        <v>275</v>
      </c>
      <c r="R1" s="228" t="s">
        <v>586</v>
      </c>
      <c r="S1" s="346" t="s">
        <v>611</v>
      </c>
    </row>
    <row r="2" spans="1:38" s="2" customFormat="1" ht="39" customHeight="1" thickBot="1" x14ac:dyDescent="0.5">
      <c r="A2" s="425" t="s">
        <v>3</v>
      </c>
      <c r="B2" s="380"/>
      <c r="C2" s="380"/>
      <c r="D2" s="251"/>
      <c r="E2" s="381"/>
      <c r="F2" s="252"/>
      <c r="G2" s="253"/>
      <c r="H2" s="254"/>
      <c r="I2" s="390"/>
      <c r="J2" s="390"/>
      <c r="K2" s="254"/>
      <c r="L2" s="385"/>
      <c r="M2" s="385"/>
      <c r="N2" s="255"/>
      <c r="O2" s="255"/>
      <c r="P2" s="255"/>
      <c r="Q2" s="255"/>
      <c r="R2" s="385"/>
      <c r="S2" s="389"/>
    </row>
    <row r="3" spans="1:38" s="2" customFormat="1" ht="39" customHeight="1" thickBot="1" x14ac:dyDescent="0.5">
      <c r="A3" s="426"/>
      <c r="B3" s="377"/>
      <c r="C3" s="377"/>
      <c r="D3" s="256"/>
      <c r="E3" s="382"/>
      <c r="F3" s="257"/>
      <c r="G3" s="258"/>
      <c r="H3" s="259"/>
      <c r="I3" s="391"/>
      <c r="J3" s="391"/>
      <c r="K3" s="259"/>
      <c r="L3" s="386"/>
      <c r="M3" s="386"/>
      <c r="N3" s="260"/>
      <c r="O3" s="260"/>
      <c r="P3" s="260"/>
      <c r="Q3" s="260"/>
      <c r="R3" s="385"/>
      <c r="S3" s="389"/>
      <c r="AE3" s="2" t="s">
        <v>623</v>
      </c>
      <c r="AJ3" s="2" t="s">
        <v>609</v>
      </c>
      <c r="AL3" s="2" t="s">
        <v>612</v>
      </c>
    </row>
    <row r="4" spans="1:38" s="2" customFormat="1" ht="39" customHeight="1" thickBot="1" x14ac:dyDescent="0.5">
      <c r="A4" s="426"/>
      <c r="B4" s="377"/>
      <c r="C4" s="377"/>
      <c r="D4" s="256"/>
      <c r="E4" s="382"/>
      <c r="F4" s="257"/>
      <c r="G4" s="258"/>
      <c r="H4" s="259"/>
      <c r="I4" s="391"/>
      <c r="J4" s="391"/>
      <c r="K4" s="259"/>
      <c r="L4" s="386"/>
      <c r="M4" s="386"/>
      <c r="N4" s="260"/>
      <c r="O4" s="260"/>
      <c r="P4" s="260"/>
      <c r="Q4" s="260"/>
      <c r="R4" s="385"/>
      <c r="S4" s="389"/>
      <c r="AE4" s="2" t="s">
        <v>307</v>
      </c>
      <c r="AJ4" s="2" t="s">
        <v>610</v>
      </c>
      <c r="AL4" s="2" t="s">
        <v>613</v>
      </c>
    </row>
    <row r="5" spans="1:38" s="2" customFormat="1" ht="39" customHeight="1" thickBot="1" x14ac:dyDescent="0.5">
      <c r="A5" s="426"/>
      <c r="B5" s="377"/>
      <c r="C5" s="377"/>
      <c r="D5" s="256"/>
      <c r="E5" s="382"/>
      <c r="F5" s="257"/>
      <c r="G5" s="258"/>
      <c r="H5" s="259"/>
      <c r="I5" s="391"/>
      <c r="J5" s="391"/>
      <c r="K5" s="259"/>
      <c r="L5" s="386"/>
      <c r="M5" s="386"/>
      <c r="N5" s="260"/>
      <c r="O5" s="260"/>
      <c r="P5" s="260"/>
      <c r="Q5" s="260"/>
      <c r="R5" s="385"/>
      <c r="S5" s="389"/>
      <c r="AE5" s="2" t="s">
        <v>620</v>
      </c>
      <c r="AL5" s="2" t="s">
        <v>614</v>
      </c>
    </row>
    <row r="6" spans="1:38" s="2" customFormat="1" ht="39" customHeight="1" thickBot="1" x14ac:dyDescent="0.5">
      <c r="A6" s="426"/>
      <c r="B6" s="377"/>
      <c r="C6" s="377"/>
      <c r="D6" s="256"/>
      <c r="E6" s="382"/>
      <c r="F6" s="257"/>
      <c r="G6" s="258"/>
      <c r="H6" s="259"/>
      <c r="I6" s="391"/>
      <c r="J6" s="391"/>
      <c r="K6" s="259"/>
      <c r="L6" s="386"/>
      <c r="M6" s="386"/>
      <c r="N6" s="260"/>
      <c r="O6" s="260"/>
      <c r="P6" s="260"/>
      <c r="Q6" s="260"/>
      <c r="R6" s="385"/>
      <c r="S6" s="389"/>
      <c r="AE6" s="2" t="s">
        <v>621</v>
      </c>
      <c r="AL6" s="2" t="s">
        <v>615</v>
      </c>
    </row>
    <row r="7" spans="1:38" s="2" customFormat="1" ht="39" customHeight="1" thickBot="1" x14ac:dyDescent="0.5">
      <c r="A7" s="426"/>
      <c r="B7" s="377"/>
      <c r="C7" s="377"/>
      <c r="D7" s="256"/>
      <c r="E7" s="382"/>
      <c r="F7" s="257"/>
      <c r="G7" s="258"/>
      <c r="H7" s="259"/>
      <c r="I7" s="391"/>
      <c r="J7" s="391"/>
      <c r="K7" s="259"/>
      <c r="L7" s="386"/>
      <c r="M7" s="386"/>
      <c r="N7" s="260"/>
      <c r="O7" s="260"/>
      <c r="P7" s="260"/>
      <c r="Q7" s="260"/>
      <c r="R7" s="385"/>
      <c r="S7" s="389"/>
      <c r="AE7" s="2" t="s">
        <v>622</v>
      </c>
      <c r="AL7" s="2" t="s">
        <v>616</v>
      </c>
    </row>
    <row r="8" spans="1:38" s="2" customFormat="1" ht="39" customHeight="1" thickBot="1" x14ac:dyDescent="0.5">
      <c r="A8" s="426"/>
      <c r="B8" s="377"/>
      <c r="C8" s="377"/>
      <c r="D8" s="256"/>
      <c r="E8" s="382"/>
      <c r="F8" s="257"/>
      <c r="G8" s="258"/>
      <c r="H8" s="259"/>
      <c r="I8" s="391"/>
      <c r="J8" s="391"/>
      <c r="K8" s="259"/>
      <c r="L8" s="386"/>
      <c r="M8" s="386"/>
      <c r="N8" s="260"/>
      <c r="O8" s="260"/>
      <c r="P8" s="260"/>
      <c r="Q8" s="260"/>
      <c r="R8" s="385"/>
      <c r="S8" s="389"/>
      <c r="AL8" s="2" t="s">
        <v>617</v>
      </c>
    </row>
    <row r="9" spans="1:38" s="2" customFormat="1" ht="39" customHeight="1" thickBot="1" x14ac:dyDescent="0.5">
      <c r="A9" s="426"/>
      <c r="B9" s="377"/>
      <c r="C9" s="377"/>
      <c r="D9" s="256"/>
      <c r="E9" s="382"/>
      <c r="F9" s="257"/>
      <c r="G9" s="258"/>
      <c r="H9" s="259"/>
      <c r="I9" s="391"/>
      <c r="J9" s="391"/>
      <c r="K9" s="259"/>
      <c r="L9" s="386"/>
      <c r="M9" s="386"/>
      <c r="N9" s="260"/>
      <c r="O9" s="260"/>
      <c r="P9" s="260"/>
      <c r="Q9" s="260"/>
      <c r="R9" s="385"/>
      <c r="S9" s="389"/>
      <c r="AL9" s="2" t="s">
        <v>618</v>
      </c>
    </row>
    <row r="10" spans="1:38" s="2" customFormat="1" ht="39" customHeight="1" thickBot="1" x14ac:dyDescent="0.5">
      <c r="A10" s="426"/>
      <c r="B10" s="377"/>
      <c r="C10" s="377"/>
      <c r="D10" s="256"/>
      <c r="E10" s="382"/>
      <c r="F10" s="257"/>
      <c r="G10" s="258"/>
      <c r="H10" s="259"/>
      <c r="I10" s="391"/>
      <c r="J10" s="391"/>
      <c r="K10" s="259"/>
      <c r="L10" s="386"/>
      <c r="M10" s="386"/>
      <c r="N10" s="260"/>
      <c r="O10" s="260"/>
      <c r="P10" s="260"/>
      <c r="Q10" s="260"/>
      <c r="R10" s="385"/>
      <c r="S10" s="389"/>
      <c r="AL10" s="2" t="s">
        <v>619</v>
      </c>
    </row>
    <row r="11" spans="1:38" s="2" customFormat="1" ht="39" customHeight="1" thickBot="1" x14ac:dyDescent="0.5">
      <c r="A11" s="426"/>
      <c r="B11" s="377"/>
      <c r="C11" s="377"/>
      <c r="D11" s="256"/>
      <c r="E11" s="382"/>
      <c r="F11" s="257"/>
      <c r="G11" s="258"/>
      <c r="H11" s="259"/>
      <c r="I11" s="391"/>
      <c r="J11" s="391"/>
      <c r="K11" s="259"/>
      <c r="L11" s="386"/>
      <c r="M11" s="386"/>
      <c r="N11" s="260"/>
      <c r="O11" s="260"/>
      <c r="P11" s="260"/>
      <c r="Q11" s="260"/>
      <c r="R11" s="385"/>
      <c r="S11" s="389"/>
    </row>
    <row r="12" spans="1:38" s="2" customFormat="1" ht="39" customHeight="1" thickBot="1" x14ac:dyDescent="0.5">
      <c r="A12" s="426"/>
      <c r="B12" s="377"/>
      <c r="C12" s="377"/>
      <c r="D12" s="256"/>
      <c r="E12" s="382"/>
      <c r="F12" s="257"/>
      <c r="G12" s="258"/>
      <c r="H12" s="259"/>
      <c r="I12" s="391"/>
      <c r="J12" s="391"/>
      <c r="K12" s="259"/>
      <c r="L12" s="386"/>
      <c r="M12" s="386"/>
      <c r="N12" s="260"/>
      <c r="O12" s="260"/>
      <c r="P12" s="260"/>
      <c r="Q12" s="260"/>
      <c r="R12" s="385"/>
      <c r="S12" s="389"/>
    </row>
    <row r="13" spans="1:38" s="2" customFormat="1" ht="39" customHeight="1" thickBot="1" x14ac:dyDescent="0.5">
      <c r="A13" s="426"/>
      <c r="B13" s="377"/>
      <c r="C13" s="377"/>
      <c r="D13" s="256"/>
      <c r="E13" s="382"/>
      <c r="F13" s="257"/>
      <c r="G13" s="258"/>
      <c r="H13" s="259"/>
      <c r="I13" s="391"/>
      <c r="J13" s="391"/>
      <c r="K13" s="259"/>
      <c r="L13" s="386"/>
      <c r="M13" s="386"/>
      <c r="N13" s="260"/>
      <c r="O13" s="260"/>
      <c r="P13" s="260"/>
      <c r="Q13" s="260"/>
      <c r="R13" s="385"/>
      <c r="S13" s="389"/>
    </row>
    <row r="14" spans="1:38" s="2" customFormat="1" ht="39" customHeight="1" thickBot="1" x14ac:dyDescent="0.5">
      <c r="A14" s="427" t="s">
        <v>6</v>
      </c>
      <c r="B14" s="231" t="s">
        <v>627</v>
      </c>
      <c r="C14" s="378"/>
      <c r="D14" s="251"/>
      <c r="E14" s="381"/>
      <c r="F14" s="261"/>
      <c r="G14" s="262"/>
      <c r="H14" s="263"/>
      <c r="I14" s="390"/>
      <c r="J14" s="391"/>
      <c r="K14" s="263"/>
      <c r="L14" s="385"/>
      <c r="M14" s="385"/>
      <c r="N14" s="255"/>
      <c r="O14" s="255"/>
      <c r="P14" s="255"/>
      <c r="Q14" s="255"/>
      <c r="R14" s="385"/>
      <c r="S14" s="389"/>
    </row>
    <row r="15" spans="1:38" s="2" customFormat="1" ht="39" customHeight="1" thickBot="1" x14ac:dyDescent="0.5">
      <c r="A15" s="428"/>
      <c r="B15" s="232" t="s">
        <v>628</v>
      </c>
      <c r="C15" s="379"/>
      <c r="D15" s="264"/>
      <c r="E15" s="383"/>
      <c r="F15" s="265"/>
      <c r="G15" s="266"/>
      <c r="H15" s="267"/>
      <c r="I15" s="392"/>
      <c r="J15" s="392"/>
      <c r="K15" s="267"/>
      <c r="L15" s="387"/>
      <c r="M15" s="387"/>
      <c r="N15" s="268"/>
      <c r="O15" s="268"/>
      <c r="P15" s="268"/>
      <c r="Q15" s="268"/>
      <c r="R15" s="385"/>
      <c r="S15" s="389"/>
    </row>
    <row r="16" spans="1:38" s="2" customFormat="1" ht="51" customHeight="1" thickBot="1" x14ac:dyDescent="0.5">
      <c r="A16" s="233" t="s">
        <v>5</v>
      </c>
      <c r="B16" s="374"/>
      <c r="C16" s="374"/>
      <c r="D16" s="269"/>
      <c r="E16" s="384"/>
      <c r="F16" s="269"/>
      <c r="G16" s="269"/>
      <c r="H16" s="269"/>
      <c r="I16" s="384"/>
      <c r="J16" s="384"/>
      <c r="K16" s="269"/>
      <c r="L16" s="388"/>
      <c r="M16" s="388"/>
      <c r="N16" s="270"/>
      <c r="O16" s="270"/>
      <c r="P16" s="270"/>
      <c r="Q16" s="270"/>
      <c r="R16" s="385"/>
      <c r="S16" s="389"/>
    </row>
    <row r="17" spans="1:19" s="2" customFormat="1" ht="39" customHeight="1" thickBot="1" x14ac:dyDescent="0.5">
      <c r="A17" s="234" t="s">
        <v>1</v>
      </c>
      <c r="B17" s="375"/>
      <c r="C17" s="375"/>
      <c r="D17" s="271"/>
      <c r="E17" s="381"/>
      <c r="F17" s="272"/>
      <c r="G17" s="273"/>
      <c r="H17" s="261"/>
      <c r="I17" s="381"/>
      <c r="J17" s="381"/>
      <c r="K17" s="261"/>
      <c r="L17" s="385"/>
      <c r="M17" s="385"/>
      <c r="N17" s="255"/>
      <c r="O17" s="255"/>
      <c r="P17" s="255"/>
      <c r="Q17" s="255"/>
      <c r="R17" s="385"/>
      <c r="S17" s="389"/>
    </row>
    <row r="18" spans="1:19" s="2" customFormat="1" ht="39" customHeight="1" thickBot="1" x14ac:dyDescent="0.5">
      <c r="A18" s="69"/>
      <c r="B18" s="376"/>
      <c r="C18" s="376"/>
      <c r="D18" s="274"/>
      <c r="E18" s="383"/>
      <c r="F18" s="275"/>
      <c r="G18" s="276"/>
      <c r="H18" s="265"/>
      <c r="I18" s="383"/>
      <c r="J18" s="383"/>
      <c r="K18" s="265"/>
      <c r="L18" s="387"/>
      <c r="M18" s="387"/>
      <c r="N18" s="268"/>
      <c r="O18" s="268"/>
      <c r="P18" s="268"/>
      <c r="Q18" s="268"/>
      <c r="R18" s="385"/>
      <c r="S18" s="389"/>
    </row>
    <row r="19" spans="1:19" s="2" customFormat="1" ht="25.5" customHeight="1" x14ac:dyDescent="0.4">
      <c r="A19" s="181" t="s">
        <v>265</v>
      </c>
      <c r="B19" s="70"/>
      <c r="C19" s="70"/>
      <c r="D19" s="70"/>
      <c r="E19" s="70"/>
      <c r="F19" s="70"/>
      <c r="G19" s="70"/>
      <c r="H19" s="71"/>
      <c r="I19" s="71"/>
      <c r="J19" s="277"/>
      <c r="K19" s="302"/>
      <c r="L19" s="71"/>
      <c r="M19" s="71"/>
      <c r="N19" s="71"/>
      <c r="O19" s="71"/>
      <c r="P19" s="71"/>
      <c r="Q19" s="71"/>
      <c r="R19" s="71"/>
      <c r="S19" s="72"/>
    </row>
    <row r="20" spans="1:19" s="2" customFormat="1" ht="25.5" customHeight="1" thickBot="1" x14ac:dyDescent="0.35">
      <c r="A20" s="64"/>
      <c r="B20" s="65"/>
      <c r="C20" s="65"/>
      <c r="D20" s="65"/>
      <c r="E20" s="65"/>
      <c r="F20" s="65"/>
      <c r="G20" s="65"/>
      <c r="H20" s="66"/>
      <c r="I20" s="66"/>
      <c r="J20" s="73"/>
      <c r="K20" s="66"/>
      <c r="L20" s="66"/>
      <c r="M20" s="66"/>
      <c r="N20" s="66"/>
      <c r="O20" s="66"/>
      <c r="P20" s="66"/>
      <c r="Q20" s="66"/>
      <c r="R20" s="66"/>
      <c r="S20" s="74"/>
    </row>
  </sheetData>
  <mergeCells count="2">
    <mergeCell ref="A2:A13"/>
    <mergeCell ref="A14:A15"/>
  </mergeCells>
  <dataValidations count="8">
    <dataValidation type="list" allowBlank="1" showInputMessage="1" showErrorMessage="1" sqref="R2:R18">
      <formula1>"Yes, No"</formula1>
    </dataValidation>
    <dataValidation type="list" allowBlank="1" showInputMessage="1" showErrorMessage="1" sqref="S2:S18">
      <formula1>$AL$2:$AL$10</formula1>
    </dataValidation>
    <dataValidation type="list" allowBlank="1" showInputMessage="1" showErrorMessage="1" sqref="M2:M18">
      <formula1>$AE$2:$AE$7</formula1>
    </dataValidation>
    <dataValidation type="list" allowBlank="1" showInputMessage="1" showErrorMessage="1" sqref="E2:E18">
      <formula1>"Incandescent, Halogen, CFL, T12, T8, T5, T12 U-Tube, T8 U-Tube, Metal Halide/Pulse-Start, Mercury Vapor, LED, Case LED, Wall Pack"</formula1>
    </dataValidation>
    <dataValidation type="list" allowBlank="1" showInputMessage="1" showErrorMessage="1" sqref="F2:F18">
      <formula1>"Magnetic, Electronic, Rapid Start, Instant Start, Programmed Start, Dimmable, Tandem-Wired"</formula1>
    </dataValidation>
    <dataValidation type="list" allowBlank="1" showInputMessage="1" showErrorMessage="1" sqref="G2:G18">
      <formula1>"Screw-In, Mogul, MR-16, bi-pin, recessed pin"</formula1>
    </dataValidation>
    <dataValidation type="list" allowBlank="1" showInputMessage="1" showErrorMessage="1" sqref="H2:H18">
      <formula1>"A-Lamp, Par20, Par30, Par38"</formula1>
    </dataValidation>
    <dataValidation type="list" allowBlank="1" showInputMessage="1" showErrorMessage="1" sqref="N2:N18">
      <formula1>"Office, Retail, Task, Always On, Common Area, Restroom, Exterior"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62" zoomScaleNormal="100" workbookViewId="0">
      <selection activeCell="C69" sqref="C69"/>
    </sheetView>
  </sheetViews>
  <sheetFormatPr defaultColWidth="8.88671875" defaultRowHeight="15.6" x14ac:dyDescent="0.3"/>
  <cols>
    <col min="1" max="1" width="21.6640625" style="81" customWidth="1"/>
    <col min="2" max="2" width="64.44140625" style="81" customWidth="1"/>
    <col min="3" max="3" width="9.109375" style="81" customWidth="1"/>
    <col min="4" max="4" width="28.6640625" style="81" customWidth="1"/>
    <col min="5" max="5" width="18.33203125" style="81" customWidth="1"/>
    <col min="6" max="6" width="10.33203125" style="81" customWidth="1"/>
    <col min="7" max="7" width="15.6640625" style="81" customWidth="1"/>
    <col min="8" max="8" width="18.5546875" style="81" customWidth="1"/>
    <col min="9" max="9" width="16.33203125" style="81" customWidth="1"/>
    <col min="10" max="10" width="31.33203125" style="81" customWidth="1"/>
    <col min="11" max="11" width="26.6640625" style="81" customWidth="1"/>
    <col min="12" max="12" width="31.44140625" style="81" customWidth="1"/>
    <col min="13" max="13" width="11.33203125" style="81" customWidth="1"/>
    <col min="14" max="14" width="32.88671875" style="81" customWidth="1"/>
    <col min="15" max="16384" width="8.88671875" style="81"/>
  </cols>
  <sheetData>
    <row r="1" spans="1:14" ht="39.6" x14ac:dyDescent="0.3">
      <c r="A1" s="319" t="s">
        <v>328</v>
      </c>
      <c r="B1" s="320" t="s">
        <v>329</v>
      </c>
      <c r="C1" s="330" t="s">
        <v>462</v>
      </c>
      <c r="D1" s="329" t="s">
        <v>461</v>
      </c>
      <c r="E1" s="331" t="s">
        <v>463</v>
      </c>
      <c r="F1" s="331" t="s">
        <v>461</v>
      </c>
      <c r="G1" s="330" t="s">
        <v>464</v>
      </c>
      <c r="H1" s="330" t="s">
        <v>257</v>
      </c>
      <c r="I1" s="330" t="s">
        <v>465</v>
      </c>
      <c r="J1" s="330" t="s">
        <v>466</v>
      </c>
      <c r="K1" s="81" t="s">
        <v>587</v>
      </c>
    </row>
    <row r="2" spans="1:14" ht="20.399999999999999" x14ac:dyDescent="0.3">
      <c r="A2" s="319" t="s">
        <v>428</v>
      </c>
      <c r="B2" s="320" t="s">
        <v>330</v>
      </c>
      <c r="C2" s="321" t="e">
        <v>#N/A</v>
      </c>
      <c r="D2" s="320"/>
      <c r="E2" s="321"/>
      <c r="F2" s="321"/>
      <c r="G2" s="320"/>
      <c r="H2" s="322"/>
      <c r="I2" s="322"/>
      <c r="K2" s="344" t="s">
        <v>588</v>
      </c>
      <c r="N2" s="324"/>
    </row>
    <row r="3" spans="1:14" ht="20.399999999999999" x14ac:dyDescent="0.3">
      <c r="A3" s="319" t="s">
        <v>429</v>
      </c>
      <c r="B3" s="320" t="s">
        <v>333</v>
      </c>
      <c r="C3" s="321" t="e">
        <v>#N/A</v>
      </c>
      <c r="D3" s="320"/>
      <c r="E3" s="321"/>
      <c r="F3" s="321"/>
      <c r="G3" s="320"/>
      <c r="H3" s="322"/>
      <c r="I3" s="322"/>
      <c r="K3" s="344" t="s">
        <v>589</v>
      </c>
      <c r="N3" s="324"/>
    </row>
    <row r="4" spans="1:14" ht="20.399999999999999" x14ac:dyDescent="0.3">
      <c r="A4" s="319" t="s">
        <v>430</v>
      </c>
      <c r="B4" s="320" t="s">
        <v>336</v>
      </c>
      <c r="C4" s="321" t="e">
        <v>#N/A</v>
      </c>
      <c r="D4" s="320"/>
      <c r="E4" s="321"/>
      <c r="F4" s="321"/>
      <c r="G4" s="320"/>
      <c r="H4" s="322"/>
      <c r="I4" s="322"/>
      <c r="K4" s="344" t="s">
        <v>589</v>
      </c>
      <c r="N4" s="324"/>
    </row>
    <row r="5" spans="1:14" ht="20.399999999999999" x14ac:dyDescent="0.3">
      <c r="A5" s="319" t="s">
        <v>431</v>
      </c>
      <c r="B5" s="320" t="s">
        <v>339</v>
      </c>
      <c r="C5" s="321" t="e">
        <v>#N/A</v>
      </c>
      <c r="D5" s="320"/>
      <c r="E5" s="321"/>
      <c r="F5" s="321"/>
      <c r="G5" s="320"/>
      <c r="H5" s="322"/>
      <c r="I5" s="322"/>
      <c r="K5" s="344" t="s">
        <v>589</v>
      </c>
      <c r="N5" s="324"/>
    </row>
    <row r="6" spans="1:14" ht="20.399999999999999" x14ac:dyDescent="0.3">
      <c r="A6" s="319" t="s">
        <v>506</v>
      </c>
      <c r="B6" s="320" t="s">
        <v>342</v>
      </c>
      <c r="C6" s="321" t="e">
        <v>#N/A</v>
      </c>
      <c r="D6" s="320"/>
      <c r="E6" s="321"/>
      <c r="F6" s="321"/>
      <c r="G6" s="320"/>
      <c r="H6" s="322"/>
      <c r="I6" s="322"/>
      <c r="K6" s="344" t="s">
        <v>588</v>
      </c>
      <c r="N6" s="324"/>
    </row>
    <row r="7" spans="1:14" ht="20.399999999999999" x14ac:dyDescent="0.3">
      <c r="A7" s="319" t="s">
        <v>507</v>
      </c>
      <c r="B7" s="320" t="s">
        <v>345</v>
      </c>
      <c r="C7" s="321" t="e">
        <v>#N/A</v>
      </c>
      <c r="D7" s="320"/>
      <c r="E7" s="323"/>
      <c r="F7" s="323"/>
      <c r="G7" s="320"/>
      <c r="H7" s="322"/>
      <c r="I7" s="322"/>
      <c r="K7" s="344" t="s">
        <v>589</v>
      </c>
      <c r="N7" s="324"/>
    </row>
    <row r="8" spans="1:14" ht="20.399999999999999" x14ac:dyDescent="0.3">
      <c r="A8" s="319" t="s">
        <v>508</v>
      </c>
      <c r="B8" s="320" t="s">
        <v>348</v>
      </c>
      <c r="C8" s="321" t="e">
        <v>#N/A</v>
      </c>
      <c r="D8" s="320"/>
      <c r="G8" s="320"/>
      <c r="H8" s="322"/>
      <c r="I8" s="322"/>
      <c r="K8" s="344" t="s">
        <v>589</v>
      </c>
      <c r="N8" s="324"/>
    </row>
    <row r="9" spans="1:14" ht="20.399999999999999" x14ac:dyDescent="0.3">
      <c r="A9" s="319" t="s">
        <v>509</v>
      </c>
      <c r="B9" s="320" t="s">
        <v>350</v>
      </c>
      <c r="C9" s="321" t="e">
        <v>#N/A</v>
      </c>
      <c r="D9" s="320"/>
      <c r="E9" s="320"/>
      <c r="F9" s="321"/>
      <c r="G9" s="320"/>
      <c r="H9" s="322"/>
      <c r="I9" s="322"/>
      <c r="K9" s="344" t="s">
        <v>589</v>
      </c>
      <c r="N9" s="324"/>
    </row>
    <row r="10" spans="1:14" ht="20.399999999999999" x14ac:dyDescent="0.3">
      <c r="A10" s="319" t="s">
        <v>432</v>
      </c>
      <c r="B10" s="320" t="s">
        <v>352</v>
      </c>
      <c r="C10" s="37" t="s">
        <v>444</v>
      </c>
      <c r="D10" s="37" t="s">
        <v>443</v>
      </c>
      <c r="E10" s="37" t="s">
        <v>445</v>
      </c>
      <c r="F10" s="37" t="s">
        <v>446</v>
      </c>
      <c r="G10" s="37" t="s">
        <v>447</v>
      </c>
      <c r="H10" s="37" t="s">
        <v>448</v>
      </c>
      <c r="I10" s="37" t="s">
        <v>449</v>
      </c>
      <c r="J10" s="37" t="s">
        <v>450</v>
      </c>
      <c r="K10" s="344" t="s">
        <v>590</v>
      </c>
      <c r="N10" s="324"/>
    </row>
    <row r="11" spans="1:14" ht="20.399999999999999" x14ac:dyDescent="0.3">
      <c r="A11" s="319" t="s">
        <v>652</v>
      </c>
      <c r="B11" s="320" t="s">
        <v>352</v>
      </c>
      <c r="C11" s="37" t="s">
        <v>444</v>
      </c>
      <c r="D11" s="37" t="s">
        <v>443</v>
      </c>
      <c r="E11" s="37" t="s">
        <v>445</v>
      </c>
      <c r="F11" s="37" t="s">
        <v>446</v>
      </c>
      <c r="G11" s="37" t="s">
        <v>447</v>
      </c>
      <c r="H11" s="37" t="s">
        <v>448</v>
      </c>
      <c r="I11" s="37" t="s">
        <v>449</v>
      </c>
      <c r="J11" s="37" t="s">
        <v>450</v>
      </c>
      <c r="K11" s="344" t="s">
        <v>590</v>
      </c>
      <c r="N11" s="324"/>
    </row>
    <row r="12" spans="1:14" ht="20.399999999999999" x14ac:dyDescent="0.3">
      <c r="A12" s="319" t="s">
        <v>433</v>
      </c>
      <c r="B12" s="320" t="s">
        <v>354</v>
      </c>
      <c r="C12" s="37" t="s">
        <v>451</v>
      </c>
      <c r="D12" s="37" t="s">
        <v>443</v>
      </c>
      <c r="E12" s="37" t="s">
        <v>452</v>
      </c>
      <c r="F12" s="37" t="s">
        <v>446</v>
      </c>
      <c r="G12" s="37" t="s">
        <v>453</v>
      </c>
      <c r="H12" s="37" t="s">
        <v>454</v>
      </c>
      <c r="I12" s="37" t="s">
        <v>449</v>
      </c>
      <c r="J12" s="37" t="s">
        <v>455</v>
      </c>
      <c r="K12" s="344" t="s">
        <v>591</v>
      </c>
      <c r="N12" s="324"/>
    </row>
    <row r="13" spans="1:14" ht="20.399999999999999" x14ac:dyDescent="0.3">
      <c r="A13" s="319" t="s">
        <v>434</v>
      </c>
      <c r="B13" s="320" t="s">
        <v>356</v>
      </c>
      <c r="C13" s="37" t="s">
        <v>456</v>
      </c>
      <c r="D13" s="37" t="s">
        <v>443</v>
      </c>
      <c r="E13" s="37" t="s">
        <v>457</v>
      </c>
      <c r="F13" s="37" t="s">
        <v>446</v>
      </c>
      <c r="G13" s="37" t="s">
        <v>458</v>
      </c>
      <c r="H13" s="37" t="s">
        <v>459</v>
      </c>
      <c r="I13" s="37" t="s">
        <v>449</v>
      </c>
      <c r="J13" s="37" t="s">
        <v>455</v>
      </c>
      <c r="K13" s="344" t="s">
        <v>594</v>
      </c>
      <c r="N13" s="324"/>
    </row>
    <row r="14" spans="1:14" x14ac:dyDescent="0.3">
      <c r="A14" s="319" t="s">
        <v>518</v>
      </c>
      <c r="B14" s="37" t="s">
        <v>500</v>
      </c>
      <c r="C14" s="37" t="s">
        <v>471</v>
      </c>
      <c r="D14" s="37" t="s">
        <v>467</v>
      </c>
      <c r="E14" s="37" t="s">
        <v>445</v>
      </c>
      <c r="F14" s="37" t="s">
        <v>446</v>
      </c>
      <c r="G14" s="37" t="s">
        <v>447</v>
      </c>
      <c r="H14" s="37" t="s">
        <v>448</v>
      </c>
      <c r="I14" s="37" t="s">
        <v>449</v>
      </c>
      <c r="J14" s="37" t="s">
        <v>450</v>
      </c>
      <c r="N14" s="324"/>
    </row>
    <row r="15" spans="1:14" x14ac:dyDescent="0.3">
      <c r="A15" s="319" t="s">
        <v>519</v>
      </c>
      <c r="B15" s="37" t="s">
        <v>502</v>
      </c>
      <c r="C15" s="37" t="s">
        <v>503</v>
      </c>
      <c r="D15" s="37" t="s">
        <v>467</v>
      </c>
      <c r="E15" s="37" t="s">
        <v>452</v>
      </c>
      <c r="F15" s="37" t="s">
        <v>446</v>
      </c>
      <c r="G15" s="37" t="s">
        <v>453</v>
      </c>
      <c r="H15" s="37" t="s">
        <v>454</v>
      </c>
      <c r="I15" s="37" t="s">
        <v>449</v>
      </c>
      <c r="J15" s="37" t="s">
        <v>455</v>
      </c>
      <c r="N15" s="324"/>
    </row>
    <row r="16" spans="1:14" x14ac:dyDescent="0.3">
      <c r="A16" s="319" t="s">
        <v>520</v>
      </c>
      <c r="B16" s="311" t="s">
        <v>504</v>
      </c>
      <c r="C16" s="311" t="s">
        <v>505</v>
      </c>
      <c r="D16" s="311" t="s">
        <v>467</v>
      </c>
      <c r="E16" s="311" t="s">
        <v>457</v>
      </c>
      <c r="F16" s="311" t="s">
        <v>446</v>
      </c>
      <c r="G16" s="311" t="s">
        <v>458</v>
      </c>
      <c r="H16" s="311" t="s">
        <v>459</v>
      </c>
      <c r="I16" s="311" t="s">
        <v>449</v>
      </c>
      <c r="J16" s="311" t="s">
        <v>455</v>
      </c>
      <c r="N16" s="324"/>
    </row>
    <row r="17" spans="1:14" ht="20.399999999999999" x14ac:dyDescent="0.3">
      <c r="A17" s="319" t="s">
        <v>435</v>
      </c>
      <c r="B17" s="320" t="s">
        <v>358</v>
      </c>
      <c r="C17" s="37" t="s">
        <v>460</v>
      </c>
      <c r="D17" s="37" t="s">
        <v>443</v>
      </c>
      <c r="E17" s="37" t="s">
        <v>457</v>
      </c>
      <c r="F17" s="37" t="s">
        <v>446</v>
      </c>
      <c r="G17" s="37" t="s">
        <v>458</v>
      </c>
      <c r="H17" s="37" t="s">
        <v>459</v>
      </c>
      <c r="I17" s="37" t="s">
        <v>449</v>
      </c>
      <c r="J17" s="37" t="s">
        <v>455</v>
      </c>
      <c r="K17" s="344" t="s">
        <v>594</v>
      </c>
      <c r="N17" s="324"/>
    </row>
    <row r="18" spans="1:14" ht="20.399999999999999" x14ac:dyDescent="0.3">
      <c r="A18" s="319" t="s">
        <v>651</v>
      </c>
      <c r="B18" s="320" t="s">
        <v>358</v>
      </c>
      <c r="C18" s="37" t="s">
        <v>460</v>
      </c>
      <c r="D18" s="37" t="s">
        <v>443</v>
      </c>
      <c r="E18" s="37" t="s">
        <v>457</v>
      </c>
      <c r="F18" s="37" t="s">
        <v>446</v>
      </c>
      <c r="G18" s="37" t="s">
        <v>458</v>
      </c>
      <c r="H18" s="37" t="s">
        <v>459</v>
      </c>
      <c r="I18" s="37" t="s">
        <v>449</v>
      </c>
      <c r="J18" s="37" t="s">
        <v>455</v>
      </c>
      <c r="K18" s="344" t="s">
        <v>594</v>
      </c>
      <c r="N18" s="324"/>
    </row>
    <row r="19" spans="1:14" ht="20.399999999999999" x14ac:dyDescent="0.3">
      <c r="A19" s="319" t="s">
        <v>436</v>
      </c>
      <c r="B19" s="320" t="s">
        <v>360</v>
      </c>
      <c r="C19" s="320" t="e">
        <v>#N/A</v>
      </c>
      <c r="D19" s="320"/>
      <c r="E19" s="320"/>
      <c r="F19" s="320"/>
      <c r="G19" s="320"/>
      <c r="H19" s="322"/>
      <c r="I19" s="322"/>
      <c r="K19" s="344" t="s">
        <v>592</v>
      </c>
      <c r="N19" s="324"/>
    </row>
    <row r="20" spans="1:14" ht="20.399999999999999" x14ac:dyDescent="0.3">
      <c r="A20" s="319" t="s">
        <v>510</v>
      </c>
      <c r="B20" s="320" t="s">
        <v>362</v>
      </c>
      <c r="C20" s="37" t="s">
        <v>501</v>
      </c>
      <c r="D20" s="37" t="s">
        <v>467</v>
      </c>
      <c r="E20" s="37" t="s">
        <v>445</v>
      </c>
      <c r="F20" s="37" t="s">
        <v>446</v>
      </c>
      <c r="G20" s="37" t="s">
        <v>447</v>
      </c>
      <c r="H20" s="37" t="s">
        <v>448</v>
      </c>
      <c r="I20" s="37" t="s">
        <v>449</v>
      </c>
      <c r="J20" s="37" t="s">
        <v>450</v>
      </c>
      <c r="K20" s="344" t="s">
        <v>590</v>
      </c>
      <c r="N20" s="324"/>
    </row>
    <row r="21" spans="1:14" ht="20.399999999999999" x14ac:dyDescent="0.3">
      <c r="A21" s="319" t="s">
        <v>511</v>
      </c>
      <c r="B21" s="320" t="s">
        <v>364</v>
      </c>
      <c r="C21" s="37" t="s">
        <v>468</v>
      </c>
      <c r="D21" s="37" t="s">
        <v>467</v>
      </c>
      <c r="E21" s="37" t="s">
        <v>452</v>
      </c>
      <c r="F21" s="37" t="s">
        <v>446</v>
      </c>
      <c r="G21" s="37" t="s">
        <v>453</v>
      </c>
      <c r="H21" s="37" t="s">
        <v>454</v>
      </c>
      <c r="I21" s="37" t="s">
        <v>449</v>
      </c>
      <c r="J21" s="37" t="s">
        <v>455</v>
      </c>
      <c r="K21" s="344" t="s">
        <v>591</v>
      </c>
      <c r="N21" s="324"/>
    </row>
    <row r="22" spans="1:14" ht="20.399999999999999" x14ac:dyDescent="0.3">
      <c r="A22" s="319" t="s">
        <v>512</v>
      </c>
      <c r="B22" s="320" t="s">
        <v>366</v>
      </c>
      <c r="C22" s="37" t="s">
        <v>469</v>
      </c>
      <c r="D22" s="37" t="s">
        <v>467</v>
      </c>
      <c r="E22" s="37" t="s">
        <v>457</v>
      </c>
      <c r="F22" s="37" t="s">
        <v>446</v>
      </c>
      <c r="G22" s="37" t="s">
        <v>458</v>
      </c>
      <c r="H22" s="37" t="s">
        <v>459</v>
      </c>
      <c r="I22" s="37" t="s">
        <v>449</v>
      </c>
      <c r="J22" s="37" t="s">
        <v>455</v>
      </c>
      <c r="K22" s="344" t="s">
        <v>594</v>
      </c>
      <c r="N22" s="324"/>
    </row>
    <row r="23" spans="1:14" ht="20.399999999999999" x14ac:dyDescent="0.3">
      <c r="A23" s="319" t="s">
        <v>513</v>
      </c>
      <c r="B23" s="320" t="s">
        <v>368</v>
      </c>
      <c r="C23" s="37" t="s">
        <v>470</v>
      </c>
      <c r="D23" s="37" t="s">
        <v>467</v>
      </c>
      <c r="E23" s="37" t="s">
        <v>457</v>
      </c>
      <c r="F23" s="37" t="s">
        <v>446</v>
      </c>
      <c r="G23" s="37" t="s">
        <v>458</v>
      </c>
      <c r="H23" s="37" t="s">
        <v>459</v>
      </c>
      <c r="I23" s="311" t="s">
        <v>449</v>
      </c>
      <c r="J23" s="311" t="s">
        <v>455</v>
      </c>
      <c r="K23" s="344" t="s">
        <v>594</v>
      </c>
      <c r="N23" s="324"/>
    </row>
    <row r="24" spans="1:14" ht="20.399999999999999" x14ac:dyDescent="0.3">
      <c r="A24" s="319" t="s">
        <v>514</v>
      </c>
      <c r="B24" s="320" t="s">
        <v>370</v>
      </c>
      <c r="C24" s="320" t="e">
        <v>#N/A</v>
      </c>
      <c r="D24" s="320"/>
      <c r="E24" s="320"/>
      <c r="F24" s="320"/>
      <c r="G24" s="320"/>
      <c r="H24" s="322"/>
      <c r="I24" s="322"/>
      <c r="K24" s="344" t="s">
        <v>592</v>
      </c>
      <c r="N24" s="324"/>
    </row>
    <row r="25" spans="1:14" ht="20.399999999999999" x14ac:dyDescent="0.3">
      <c r="A25" s="319" t="s">
        <v>437</v>
      </c>
      <c r="B25" s="320" t="s">
        <v>372</v>
      </c>
      <c r="C25" s="320" t="e">
        <v>#N/A</v>
      </c>
      <c r="D25" s="320"/>
      <c r="E25" s="320"/>
      <c r="F25" s="320"/>
      <c r="G25" s="320"/>
      <c r="H25" s="322"/>
      <c r="I25" s="322"/>
      <c r="K25" s="345" t="s">
        <v>595</v>
      </c>
      <c r="N25" s="327"/>
    </row>
    <row r="26" spans="1:14" ht="20.399999999999999" x14ac:dyDescent="0.3">
      <c r="A26" s="319" t="s">
        <v>438</v>
      </c>
      <c r="B26" s="320" t="s">
        <v>374</v>
      </c>
      <c r="C26" s="320" t="e">
        <v>#N/A</v>
      </c>
      <c r="D26" s="320"/>
      <c r="E26" s="320"/>
      <c r="F26" s="320"/>
      <c r="G26" s="320"/>
      <c r="H26" s="322"/>
      <c r="I26" s="322"/>
      <c r="K26" s="345" t="s">
        <v>596</v>
      </c>
      <c r="N26" s="324"/>
    </row>
    <row r="27" spans="1:14" ht="20.399999999999999" x14ac:dyDescent="0.3">
      <c r="A27" s="319" t="s">
        <v>439</v>
      </c>
      <c r="B27" s="320" t="s">
        <v>376</v>
      </c>
      <c r="C27" s="320" t="e">
        <v>#N/A</v>
      </c>
      <c r="D27" s="320"/>
      <c r="E27" s="320"/>
      <c r="F27" s="320"/>
      <c r="G27" s="320"/>
      <c r="H27" s="324"/>
      <c r="I27" s="324"/>
      <c r="K27" s="345" t="s">
        <v>593</v>
      </c>
      <c r="N27" s="324"/>
    </row>
    <row r="28" spans="1:14" ht="20.399999999999999" x14ac:dyDescent="0.3">
      <c r="A28" s="319" t="s">
        <v>515</v>
      </c>
      <c r="B28" s="320" t="s">
        <v>377</v>
      </c>
      <c r="C28" s="320" t="e">
        <v>#N/A</v>
      </c>
      <c r="D28" s="320"/>
      <c r="E28" s="320"/>
      <c r="F28" s="320"/>
      <c r="G28" s="320"/>
      <c r="H28" s="324"/>
      <c r="I28" s="324"/>
      <c r="K28" s="345" t="s">
        <v>595</v>
      </c>
      <c r="N28" s="324"/>
    </row>
    <row r="29" spans="1:14" ht="20.399999999999999" x14ac:dyDescent="0.3">
      <c r="A29" s="319" t="s">
        <v>516</v>
      </c>
      <c r="B29" s="320" t="s">
        <v>378</v>
      </c>
      <c r="C29" s="37" t="s">
        <v>472</v>
      </c>
      <c r="D29" s="37" t="s">
        <v>467</v>
      </c>
      <c r="E29" s="37" t="s">
        <v>452</v>
      </c>
      <c r="F29" s="37" t="s">
        <v>446</v>
      </c>
      <c r="G29" s="37" t="s">
        <v>458</v>
      </c>
      <c r="H29" s="37" t="s">
        <v>459</v>
      </c>
      <c r="I29" s="37" t="s">
        <v>449</v>
      </c>
      <c r="J29" s="37" t="s">
        <v>455</v>
      </c>
      <c r="K29" s="345" t="s">
        <v>596</v>
      </c>
      <c r="N29" s="324"/>
    </row>
    <row r="30" spans="1:14" ht="20.399999999999999" x14ac:dyDescent="0.3">
      <c r="A30" s="319" t="s">
        <v>517</v>
      </c>
      <c r="B30" s="320" t="s">
        <v>379</v>
      </c>
      <c r="C30" s="37" t="s">
        <v>473</v>
      </c>
      <c r="D30" s="37" t="s">
        <v>467</v>
      </c>
      <c r="E30" s="37" t="s">
        <v>457</v>
      </c>
      <c r="F30" s="37" t="s">
        <v>446</v>
      </c>
      <c r="G30" s="37" t="s">
        <v>474</v>
      </c>
      <c r="H30" s="37" t="s">
        <v>475</v>
      </c>
      <c r="I30" s="37" t="s">
        <v>449</v>
      </c>
      <c r="J30" s="37" t="s">
        <v>476</v>
      </c>
      <c r="K30" s="345" t="s">
        <v>593</v>
      </c>
      <c r="N30" s="324"/>
    </row>
    <row r="31" spans="1:14" x14ac:dyDescent="0.3">
      <c r="A31" s="319" t="s">
        <v>649</v>
      </c>
      <c r="B31" s="320" t="s">
        <v>380</v>
      </c>
      <c r="C31" s="320" t="e">
        <v>#N/A</v>
      </c>
      <c r="D31" s="320"/>
      <c r="E31" s="320"/>
      <c r="F31" s="320"/>
      <c r="G31" s="320"/>
      <c r="H31" s="324"/>
      <c r="I31" s="324"/>
      <c r="N31" s="324"/>
    </row>
    <row r="32" spans="1:14" x14ac:dyDescent="0.3">
      <c r="A32" s="319" t="s">
        <v>650</v>
      </c>
      <c r="B32" s="320" t="s">
        <v>381</v>
      </c>
      <c r="C32" s="320" t="e">
        <v>#N/A</v>
      </c>
      <c r="E32" s="320"/>
      <c r="F32" s="320"/>
      <c r="G32" s="320"/>
      <c r="H32" s="324"/>
      <c r="I32" s="324"/>
      <c r="N32" s="324"/>
    </row>
    <row r="33" spans="1:14" ht="20.399999999999999" x14ac:dyDescent="0.3">
      <c r="A33" s="321" t="s">
        <v>422</v>
      </c>
      <c r="B33" s="321" t="s">
        <v>331</v>
      </c>
      <c r="C33" s="320" t="e">
        <v>#N/A</v>
      </c>
      <c r="H33" s="324"/>
      <c r="I33" s="324"/>
      <c r="K33" s="344" t="s">
        <v>601</v>
      </c>
      <c r="N33" s="324"/>
    </row>
    <row r="34" spans="1:14" ht="20.399999999999999" x14ac:dyDescent="0.3">
      <c r="A34" s="321" t="s">
        <v>423</v>
      </c>
      <c r="B34" s="321" t="s">
        <v>334</v>
      </c>
      <c r="C34" s="320" t="e">
        <v>#N/A</v>
      </c>
      <c r="H34" s="324"/>
      <c r="I34" s="324"/>
      <c r="K34" s="344" t="s">
        <v>601</v>
      </c>
      <c r="N34" s="324"/>
    </row>
    <row r="35" spans="1:14" ht="20.399999999999999" x14ac:dyDescent="0.3">
      <c r="A35" s="321" t="s">
        <v>424</v>
      </c>
      <c r="B35" s="321" t="s">
        <v>337</v>
      </c>
      <c r="C35" s="320" t="e">
        <v>#N/A</v>
      </c>
      <c r="H35" s="324"/>
      <c r="I35" s="324"/>
      <c r="K35" s="344" t="s">
        <v>602</v>
      </c>
      <c r="N35" s="324"/>
    </row>
    <row r="36" spans="1:14" ht="20.399999999999999" x14ac:dyDescent="0.3">
      <c r="A36" s="321" t="s">
        <v>425</v>
      </c>
      <c r="B36" s="321" t="s">
        <v>340</v>
      </c>
      <c r="C36" s="320" t="e">
        <v>#N/A</v>
      </c>
      <c r="H36" s="324"/>
      <c r="I36" s="324"/>
      <c r="K36" s="344" t="s">
        <v>602</v>
      </c>
      <c r="N36" s="324"/>
    </row>
    <row r="37" spans="1:14" ht="20.399999999999999" x14ac:dyDescent="0.3">
      <c r="A37" s="321" t="s">
        <v>426</v>
      </c>
      <c r="B37" s="321" t="s">
        <v>343</v>
      </c>
      <c r="C37" s="320" t="e">
        <v>#N/A</v>
      </c>
      <c r="K37" s="344" t="s">
        <v>603</v>
      </c>
      <c r="N37" s="324"/>
    </row>
    <row r="38" spans="1:14" ht="20.399999999999999" x14ac:dyDescent="0.3">
      <c r="A38" s="323" t="s">
        <v>427</v>
      </c>
      <c r="B38" s="323" t="s">
        <v>346</v>
      </c>
      <c r="C38" s="320" t="e">
        <v>#N/A</v>
      </c>
      <c r="K38" s="344" t="s">
        <v>603</v>
      </c>
      <c r="N38" s="326"/>
    </row>
    <row r="39" spans="1:14" ht="20.399999999999999" x14ac:dyDescent="0.3">
      <c r="A39" s="322" t="s">
        <v>382</v>
      </c>
      <c r="B39" s="322" t="s">
        <v>332</v>
      </c>
      <c r="C39" s="37" t="s">
        <v>522</v>
      </c>
      <c r="D39" s="37" t="s">
        <v>521</v>
      </c>
      <c r="E39" s="37" t="s">
        <v>523</v>
      </c>
      <c r="F39" s="37" t="s">
        <v>524</v>
      </c>
      <c r="G39" s="37" t="s">
        <v>525</v>
      </c>
      <c r="H39" s="37" t="s">
        <v>526</v>
      </c>
      <c r="I39" s="37" t="s">
        <v>527</v>
      </c>
      <c r="J39" s="37" t="s">
        <v>527</v>
      </c>
      <c r="K39" s="345" t="s">
        <v>597</v>
      </c>
    </row>
    <row r="40" spans="1:14" ht="20.399999999999999" x14ac:dyDescent="0.3">
      <c r="A40" s="322" t="s">
        <v>383</v>
      </c>
      <c r="B40" s="322" t="s">
        <v>335</v>
      </c>
      <c r="C40" s="37" t="s">
        <v>528</v>
      </c>
      <c r="D40" s="37" t="s">
        <v>521</v>
      </c>
      <c r="E40" s="37" t="s">
        <v>529</v>
      </c>
      <c r="F40" s="37" t="s">
        <v>530</v>
      </c>
      <c r="G40" s="37" t="s">
        <v>531</v>
      </c>
      <c r="H40" s="37" t="s">
        <v>532</v>
      </c>
      <c r="I40" s="37" t="s">
        <v>533</v>
      </c>
      <c r="J40" s="37" t="s">
        <v>533</v>
      </c>
      <c r="K40" s="345" t="s">
        <v>597</v>
      </c>
      <c r="N40" s="327"/>
    </row>
    <row r="41" spans="1:14" ht="20.399999999999999" x14ac:dyDescent="0.3">
      <c r="A41" s="322" t="s">
        <v>384</v>
      </c>
      <c r="B41" s="322" t="s">
        <v>338</v>
      </c>
      <c r="C41" s="37" t="s">
        <v>534</v>
      </c>
      <c r="D41" s="37" t="s">
        <v>521</v>
      </c>
      <c r="E41" s="37" t="s">
        <v>529</v>
      </c>
      <c r="F41" s="37" t="s">
        <v>530</v>
      </c>
      <c r="G41" s="37" t="s">
        <v>531</v>
      </c>
      <c r="H41" s="37" t="s">
        <v>532</v>
      </c>
      <c r="I41" s="37" t="s">
        <v>533</v>
      </c>
      <c r="J41" s="37" t="s">
        <v>533</v>
      </c>
      <c r="K41" s="345" t="s">
        <v>597</v>
      </c>
      <c r="N41" s="327"/>
    </row>
    <row r="42" spans="1:14" ht="20.399999999999999" x14ac:dyDescent="0.3">
      <c r="A42" s="322" t="s">
        <v>385</v>
      </c>
      <c r="B42" s="322" t="s">
        <v>341</v>
      </c>
      <c r="C42" s="81" t="e">
        <v>#N/A</v>
      </c>
      <c r="K42" s="345" t="s">
        <v>597</v>
      </c>
      <c r="N42" s="328"/>
    </row>
    <row r="43" spans="1:14" ht="20.399999999999999" x14ac:dyDescent="0.3">
      <c r="A43" s="322" t="s">
        <v>386</v>
      </c>
      <c r="B43" s="322" t="s">
        <v>344</v>
      </c>
      <c r="C43" s="37" t="s">
        <v>535</v>
      </c>
      <c r="D43" s="37" t="s">
        <v>521</v>
      </c>
      <c r="E43" s="37" t="s">
        <v>529</v>
      </c>
      <c r="F43" s="37" t="s">
        <v>530</v>
      </c>
      <c r="G43" s="37" t="s">
        <v>531</v>
      </c>
      <c r="H43" s="37" t="s">
        <v>532</v>
      </c>
      <c r="I43" s="37" t="s">
        <v>533</v>
      </c>
      <c r="J43" s="37" t="s">
        <v>533</v>
      </c>
      <c r="K43" s="345" t="s">
        <v>597</v>
      </c>
    </row>
    <row r="44" spans="1:14" ht="20.399999999999999" x14ac:dyDescent="0.3">
      <c r="A44" s="322" t="s">
        <v>387</v>
      </c>
      <c r="B44" s="322" t="s">
        <v>347</v>
      </c>
      <c r="C44" s="37" t="s">
        <v>536</v>
      </c>
      <c r="D44" s="37" t="s">
        <v>521</v>
      </c>
      <c r="E44" s="37" t="s">
        <v>529</v>
      </c>
      <c r="F44" s="37" t="s">
        <v>530</v>
      </c>
      <c r="G44" s="37" t="s">
        <v>531</v>
      </c>
      <c r="H44" s="37" t="s">
        <v>532</v>
      </c>
      <c r="I44" s="37" t="s">
        <v>533</v>
      </c>
      <c r="J44" s="37" t="s">
        <v>533</v>
      </c>
      <c r="K44" s="345" t="s">
        <v>597</v>
      </c>
    </row>
    <row r="45" spans="1:14" ht="20.399999999999999" x14ac:dyDescent="0.3">
      <c r="A45" s="322" t="s">
        <v>388</v>
      </c>
      <c r="B45" s="322" t="s">
        <v>349</v>
      </c>
      <c r="C45" s="81" t="e">
        <v>#N/A</v>
      </c>
      <c r="K45" s="345" t="s">
        <v>597</v>
      </c>
    </row>
    <row r="46" spans="1:14" ht="20.399999999999999" x14ac:dyDescent="0.3">
      <c r="A46" s="322" t="s">
        <v>389</v>
      </c>
      <c r="B46" s="322" t="s">
        <v>351</v>
      </c>
      <c r="C46" s="37" t="s">
        <v>537</v>
      </c>
      <c r="D46" s="37" t="s">
        <v>521</v>
      </c>
      <c r="E46" s="37" t="s">
        <v>529</v>
      </c>
      <c r="F46" s="37" t="s">
        <v>530</v>
      </c>
      <c r="G46" s="37" t="s">
        <v>538</v>
      </c>
      <c r="H46" s="37" t="s">
        <v>539</v>
      </c>
      <c r="I46" s="37" t="s">
        <v>540</v>
      </c>
      <c r="J46" s="37" t="s">
        <v>540</v>
      </c>
      <c r="K46" s="345" t="s">
        <v>598</v>
      </c>
    </row>
    <row r="47" spans="1:14" ht="20.399999999999999" x14ac:dyDescent="0.3">
      <c r="A47" s="322" t="s">
        <v>390</v>
      </c>
      <c r="B47" s="322" t="s">
        <v>353</v>
      </c>
      <c r="C47" s="81" t="e">
        <v>#N/A</v>
      </c>
      <c r="K47" s="345" t="s">
        <v>598</v>
      </c>
    </row>
    <row r="48" spans="1:14" ht="20.399999999999999" x14ac:dyDescent="0.3">
      <c r="A48" s="322" t="s">
        <v>391</v>
      </c>
      <c r="B48" s="322" t="s">
        <v>355</v>
      </c>
      <c r="C48" s="81" t="e">
        <v>#N/A</v>
      </c>
      <c r="K48" s="345" t="s">
        <v>598</v>
      </c>
    </row>
    <row r="49" spans="1:11" ht="20.399999999999999" x14ac:dyDescent="0.3">
      <c r="A49" s="322" t="s">
        <v>392</v>
      </c>
      <c r="B49" s="322" t="s">
        <v>357</v>
      </c>
      <c r="C49" s="81" t="e">
        <v>#N/A</v>
      </c>
      <c r="K49" s="345" t="s">
        <v>598</v>
      </c>
    </row>
    <row r="50" spans="1:11" ht="20.399999999999999" x14ac:dyDescent="0.3">
      <c r="A50" s="322" t="s">
        <v>393</v>
      </c>
      <c r="B50" s="322" t="s">
        <v>359</v>
      </c>
      <c r="C50" s="81" t="e">
        <v>#N/A</v>
      </c>
      <c r="K50" s="345" t="s">
        <v>598</v>
      </c>
    </row>
    <row r="51" spans="1:11" ht="20.399999999999999" x14ac:dyDescent="0.3">
      <c r="A51" s="322" t="s">
        <v>394</v>
      </c>
      <c r="B51" s="322" t="s">
        <v>361</v>
      </c>
      <c r="C51" s="81" t="e">
        <v>#N/A</v>
      </c>
      <c r="K51" s="345" t="s">
        <v>598</v>
      </c>
    </row>
    <row r="52" spans="1:11" ht="20.399999999999999" x14ac:dyDescent="0.3">
      <c r="A52" s="322" t="s">
        <v>395</v>
      </c>
      <c r="B52" s="322" t="s">
        <v>363</v>
      </c>
      <c r="C52" s="81" t="e">
        <v>#N/A</v>
      </c>
      <c r="K52" s="345" t="s">
        <v>599</v>
      </c>
    </row>
    <row r="53" spans="1:11" ht="20.399999999999999" x14ac:dyDescent="0.3">
      <c r="A53" s="322" t="s">
        <v>396</v>
      </c>
      <c r="B53" s="322" t="s">
        <v>365</v>
      </c>
      <c r="C53" s="81" t="e">
        <v>#N/A</v>
      </c>
      <c r="K53" s="345" t="s">
        <v>599</v>
      </c>
    </row>
    <row r="54" spans="1:11" ht="20.399999999999999" x14ac:dyDescent="0.3">
      <c r="A54" s="322" t="s">
        <v>397</v>
      </c>
      <c r="B54" s="322" t="s">
        <v>367</v>
      </c>
      <c r="C54" s="81" t="e">
        <v>#N/A</v>
      </c>
      <c r="K54" s="345" t="s">
        <v>599</v>
      </c>
    </row>
    <row r="55" spans="1:11" ht="20.399999999999999" x14ac:dyDescent="0.3">
      <c r="A55" s="322" t="s">
        <v>398</v>
      </c>
      <c r="B55" s="322" t="s">
        <v>369</v>
      </c>
      <c r="C55" s="81" t="e">
        <v>#N/A</v>
      </c>
      <c r="K55" s="345" t="s">
        <v>599</v>
      </c>
    </row>
    <row r="56" spans="1:11" ht="20.399999999999999" x14ac:dyDescent="0.3">
      <c r="A56" s="322" t="s">
        <v>399</v>
      </c>
      <c r="B56" s="322" t="s">
        <v>371</v>
      </c>
      <c r="C56" s="81" t="e">
        <v>#N/A</v>
      </c>
      <c r="K56" s="345" t="s">
        <v>599</v>
      </c>
    </row>
    <row r="57" spans="1:11" ht="20.399999999999999" x14ac:dyDescent="0.3">
      <c r="A57" s="322" t="s">
        <v>400</v>
      </c>
      <c r="B57" s="322" t="s">
        <v>373</v>
      </c>
      <c r="C57" s="81" t="e">
        <v>#N/A</v>
      </c>
      <c r="K57" s="345" t="s">
        <v>599</v>
      </c>
    </row>
    <row r="58" spans="1:11" ht="20.399999999999999" x14ac:dyDescent="0.3">
      <c r="A58" s="322" t="s">
        <v>401</v>
      </c>
      <c r="B58" s="322" t="s">
        <v>375</v>
      </c>
      <c r="C58" s="81" t="e">
        <v>#N/A</v>
      </c>
      <c r="K58" s="345" t="s">
        <v>599</v>
      </c>
    </row>
    <row r="59" spans="1:11" ht="20.399999999999999" x14ac:dyDescent="0.3">
      <c r="A59" s="324" t="s">
        <v>412</v>
      </c>
      <c r="B59" s="324" t="s">
        <v>402</v>
      </c>
      <c r="C59" s="37" t="s">
        <v>543</v>
      </c>
      <c r="D59" s="37" t="s">
        <v>541</v>
      </c>
      <c r="E59" s="37" t="s">
        <v>544</v>
      </c>
      <c r="F59" s="37" t="s">
        <v>524</v>
      </c>
      <c r="G59" s="37" t="s">
        <v>545</v>
      </c>
      <c r="H59" s="37" t="s">
        <v>546</v>
      </c>
      <c r="I59" s="311" t="s">
        <v>547</v>
      </c>
      <c r="J59" s="311" t="s">
        <v>547</v>
      </c>
      <c r="K59" s="345" t="s">
        <v>597</v>
      </c>
    </row>
    <row r="60" spans="1:11" ht="20.399999999999999" x14ac:dyDescent="0.3">
      <c r="A60" s="324" t="s">
        <v>413</v>
      </c>
      <c r="B60" s="324" t="s">
        <v>403</v>
      </c>
      <c r="C60" s="37" t="s">
        <v>548</v>
      </c>
      <c r="D60" s="37" t="s">
        <v>541</v>
      </c>
      <c r="E60" s="37" t="s">
        <v>529</v>
      </c>
      <c r="F60" s="37" t="s">
        <v>530</v>
      </c>
      <c r="G60" s="37" t="s">
        <v>531</v>
      </c>
      <c r="H60" s="37" t="s">
        <v>532</v>
      </c>
      <c r="I60" s="37" t="s">
        <v>533</v>
      </c>
      <c r="J60" s="37" t="s">
        <v>533</v>
      </c>
      <c r="K60" s="345" t="s">
        <v>597</v>
      </c>
    </row>
    <row r="61" spans="1:11" ht="20.399999999999999" x14ac:dyDescent="0.3">
      <c r="A61" s="325" t="s">
        <v>414</v>
      </c>
      <c r="B61" s="324" t="s">
        <v>404</v>
      </c>
      <c r="C61" s="37" t="s">
        <v>549</v>
      </c>
      <c r="D61" s="37" t="s">
        <v>541</v>
      </c>
      <c r="E61" s="37" t="s">
        <v>529</v>
      </c>
      <c r="F61" s="37" t="s">
        <v>530</v>
      </c>
      <c r="G61" s="37" t="s">
        <v>531</v>
      </c>
      <c r="H61" s="37" t="s">
        <v>532</v>
      </c>
      <c r="I61" s="311" t="s">
        <v>533</v>
      </c>
      <c r="J61" s="311" t="s">
        <v>533</v>
      </c>
      <c r="K61" s="345" t="s">
        <v>597</v>
      </c>
    </row>
    <row r="62" spans="1:11" ht="20.399999999999999" x14ac:dyDescent="0.3">
      <c r="A62" s="324" t="s">
        <v>415</v>
      </c>
      <c r="B62" s="324" t="s">
        <v>405</v>
      </c>
      <c r="C62" s="37" t="s">
        <v>550</v>
      </c>
      <c r="D62" s="37" t="s">
        <v>541</v>
      </c>
      <c r="E62" s="37" t="s">
        <v>529</v>
      </c>
      <c r="F62" s="37" t="s">
        <v>530</v>
      </c>
      <c r="G62" s="37" t="s">
        <v>538</v>
      </c>
      <c r="H62" s="37" t="s">
        <v>539</v>
      </c>
      <c r="I62" s="311" t="s">
        <v>540</v>
      </c>
      <c r="J62" s="311" t="s">
        <v>540</v>
      </c>
      <c r="K62" s="345" t="s">
        <v>597</v>
      </c>
    </row>
    <row r="63" spans="1:11" ht="20.399999999999999" x14ac:dyDescent="0.3">
      <c r="A63" s="324" t="s">
        <v>416</v>
      </c>
      <c r="B63" s="324" t="s">
        <v>406</v>
      </c>
      <c r="C63" s="81" t="e">
        <v>#N/A</v>
      </c>
      <c r="K63" s="345" t="s">
        <v>597</v>
      </c>
    </row>
    <row r="64" spans="1:11" ht="20.399999999999999" x14ac:dyDescent="0.3">
      <c r="A64" s="324" t="s">
        <v>417</v>
      </c>
      <c r="B64" s="324" t="s">
        <v>407</v>
      </c>
      <c r="C64" s="37" t="s">
        <v>542</v>
      </c>
      <c r="D64" s="37" t="s">
        <v>541</v>
      </c>
      <c r="E64" s="37" t="s">
        <v>529</v>
      </c>
      <c r="F64" s="37" t="s">
        <v>530</v>
      </c>
      <c r="G64" s="37" t="s">
        <v>538</v>
      </c>
      <c r="H64" s="37" t="s">
        <v>539</v>
      </c>
      <c r="I64" s="311" t="s">
        <v>540</v>
      </c>
      <c r="J64" s="311" t="s">
        <v>540</v>
      </c>
      <c r="K64" s="345" t="s">
        <v>598</v>
      </c>
    </row>
    <row r="65" spans="1:11" ht="20.399999999999999" x14ac:dyDescent="0.3">
      <c r="A65" s="324" t="s">
        <v>418</v>
      </c>
      <c r="B65" s="324" t="s">
        <v>408</v>
      </c>
      <c r="C65" s="81" t="e">
        <v>#N/A</v>
      </c>
      <c r="K65" s="345" t="s">
        <v>598</v>
      </c>
    </row>
    <row r="66" spans="1:11" ht="20.399999999999999" x14ac:dyDescent="0.3">
      <c r="A66" s="324" t="s">
        <v>419</v>
      </c>
      <c r="B66" s="324" t="s">
        <v>409</v>
      </c>
      <c r="C66" s="81" t="e">
        <v>#N/A</v>
      </c>
      <c r="K66" s="345" t="s">
        <v>598</v>
      </c>
    </row>
    <row r="67" spans="1:11" ht="20.399999999999999" x14ac:dyDescent="0.3">
      <c r="A67" s="324" t="s">
        <v>420</v>
      </c>
      <c r="B67" s="324" t="s">
        <v>410</v>
      </c>
      <c r="C67" s="81" t="e">
        <v>#N/A</v>
      </c>
      <c r="K67" s="345" t="s">
        <v>599</v>
      </c>
    </row>
    <row r="68" spans="1:11" ht="20.399999999999999" x14ac:dyDescent="0.3">
      <c r="A68" s="324" t="s">
        <v>421</v>
      </c>
      <c r="B68" s="324" t="s">
        <v>411</v>
      </c>
      <c r="C68" s="81" t="e">
        <v>#N/A</v>
      </c>
      <c r="K68" s="345" t="s">
        <v>599</v>
      </c>
    </row>
    <row r="69" spans="1:11" ht="20.399999999999999" x14ac:dyDescent="0.3">
      <c r="A69" s="81" t="s">
        <v>477</v>
      </c>
      <c r="B69" s="324" t="s">
        <v>440</v>
      </c>
      <c r="C69" s="37" t="s">
        <v>653</v>
      </c>
      <c r="D69" s="37" t="s">
        <v>580</v>
      </c>
      <c r="E69" s="37" t="s">
        <v>584</v>
      </c>
      <c r="F69" s="37" t="s">
        <v>580</v>
      </c>
      <c r="G69" s="37" t="s">
        <v>582</v>
      </c>
      <c r="H69" s="37" t="s">
        <v>442</v>
      </c>
      <c r="I69" s="37" t="s">
        <v>583</v>
      </c>
      <c r="J69" s="37" t="s">
        <v>583</v>
      </c>
      <c r="K69" s="345" t="s">
        <v>600</v>
      </c>
    </row>
    <row r="70" spans="1:11" ht="20.399999999999999" x14ac:dyDescent="0.3">
      <c r="A70" s="81" t="s">
        <v>478</v>
      </c>
      <c r="B70" s="324" t="s">
        <v>441</v>
      </c>
      <c r="C70" s="37" t="s">
        <v>581</v>
      </c>
      <c r="D70" s="37" t="s">
        <v>580</v>
      </c>
      <c r="E70" s="37" t="s">
        <v>584</v>
      </c>
      <c r="F70" s="37" t="s">
        <v>580</v>
      </c>
      <c r="G70" s="37" t="s">
        <v>582</v>
      </c>
      <c r="H70" s="37" t="s">
        <v>442</v>
      </c>
      <c r="I70" s="37" t="s">
        <v>583</v>
      </c>
      <c r="J70" s="37" t="s">
        <v>583</v>
      </c>
      <c r="K70" s="345" t="s">
        <v>600</v>
      </c>
    </row>
    <row r="71" spans="1:11" x14ac:dyDescent="0.3">
      <c r="A71" s="81" t="s">
        <v>479</v>
      </c>
      <c r="B71" s="327" t="s">
        <v>442</v>
      </c>
      <c r="C71" s="81" t="e">
        <v>#N/A</v>
      </c>
    </row>
    <row r="72" spans="1:11" ht="30.6" x14ac:dyDescent="0.3">
      <c r="A72" s="81" t="s">
        <v>490</v>
      </c>
      <c r="B72" s="324" t="s">
        <v>480</v>
      </c>
      <c r="C72" s="81" t="e">
        <v>#N/A</v>
      </c>
      <c r="K72" s="344" t="s">
        <v>608</v>
      </c>
    </row>
    <row r="73" spans="1:11" ht="30.6" x14ac:dyDescent="0.3">
      <c r="A73" s="81" t="s">
        <v>491</v>
      </c>
      <c r="B73" s="324" t="s">
        <v>481</v>
      </c>
      <c r="C73" s="81" t="e">
        <v>#N/A</v>
      </c>
      <c r="K73" s="344" t="s">
        <v>606</v>
      </c>
    </row>
    <row r="74" spans="1:11" ht="30.6" x14ac:dyDescent="0.3">
      <c r="A74" s="81" t="s">
        <v>492</v>
      </c>
      <c r="B74" s="324" t="s">
        <v>482</v>
      </c>
      <c r="C74" s="81" t="e">
        <v>#N/A</v>
      </c>
      <c r="K74" s="344" t="s">
        <v>606</v>
      </c>
    </row>
    <row r="75" spans="1:11" ht="30.6" x14ac:dyDescent="0.3">
      <c r="A75" s="81" t="s">
        <v>493</v>
      </c>
      <c r="B75" s="324" t="s">
        <v>483</v>
      </c>
      <c r="C75" s="81" t="e">
        <v>#N/A</v>
      </c>
      <c r="K75" s="344" t="s">
        <v>607</v>
      </c>
    </row>
    <row r="76" spans="1:11" ht="20.399999999999999" x14ac:dyDescent="0.3">
      <c r="A76" s="81" t="s">
        <v>494</v>
      </c>
      <c r="B76" s="324" t="s">
        <v>484</v>
      </c>
      <c r="C76" s="81" t="e">
        <v>#N/A</v>
      </c>
      <c r="K76" s="344" t="s">
        <v>604</v>
      </c>
    </row>
    <row r="77" spans="1:11" ht="20.399999999999999" x14ac:dyDescent="0.3">
      <c r="A77" s="81" t="s">
        <v>495</v>
      </c>
      <c r="B77" s="324" t="s">
        <v>485</v>
      </c>
      <c r="C77" s="81" t="e">
        <v>#N/A</v>
      </c>
      <c r="K77" s="344" t="s">
        <v>604</v>
      </c>
    </row>
    <row r="78" spans="1:11" ht="20.399999999999999" x14ac:dyDescent="0.3">
      <c r="A78" s="81" t="s">
        <v>496</v>
      </c>
      <c r="B78" s="324" t="s">
        <v>486</v>
      </c>
      <c r="C78" s="81" t="e">
        <v>#N/A</v>
      </c>
      <c r="K78" s="344" t="s">
        <v>604</v>
      </c>
    </row>
    <row r="79" spans="1:11" ht="20.399999999999999" x14ac:dyDescent="0.3">
      <c r="A79" s="81" t="s">
        <v>497</v>
      </c>
      <c r="B79" s="324" t="s">
        <v>487</v>
      </c>
      <c r="C79" s="37" t="s">
        <v>552</v>
      </c>
      <c r="D79" s="37" t="s">
        <v>551</v>
      </c>
      <c r="E79" s="37" t="s">
        <v>553</v>
      </c>
      <c r="F79" s="37" t="s">
        <v>554</v>
      </c>
      <c r="G79" s="37" t="s">
        <v>555</v>
      </c>
      <c r="H79" s="37" t="s">
        <v>556</v>
      </c>
      <c r="I79" s="37" t="s">
        <v>557</v>
      </c>
      <c r="J79" s="37" t="s">
        <v>558</v>
      </c>
      <c r="K79" s="344" t="s">
        <v>605</v>
      </c>
    </row>
    <row r="80" spans="1:11" ht="20.399999999999999" x14ac:dyDescent="0.3">
      <c r="A80" s="81" t="s">
        <v>498</v>
      </c>
      <c r="B80" s="324" t="s">
        <v>488</v>
      </c>
      <c r="C80" s="81" t="e">
        <v>#N/A</v>
      </c>
      <c r="K80" s="344" t="s">
        <v>605</v>
      </c>
    </row>
    <row r="81" spans="1:11" ht="20.399999999999999" x14ac:dyDescent="0.3">
      <c r="A81" s="81" t="s">
        <v>499</v>
      </c>
      <c r="B81" s="324" t="s">
        <v>489</v>
      </c>
      <c r="C81" s="37" t="s">
        <v>559</v>
      </c>
      <c r="D81" s="37" t="s">
        <v>551</v>
      </c>
      <c r="E81" s="37" t="s">
        <v>553</v>
      </c>
      <c r="F81" s="37" t="s">
        <v>554</v>
      </c>
      <c r="G81" s="37" t="s">
        <v>555</v>
      </c>
      <c r="H81" s="37" t="s">
        <v>556</v>
      </c>
      <c r="I81" s="37" t="s">
        <v>557</v>
      </c>
      <c r="J81" s="37" t="s">
        <v>558</v>
      </c>
      <c r="K81" s="344" t="s">
        <v>605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0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39" customWidth="1"/>
    <col min="2" max="2" width="10.44140625" style="139" customWidth="1"/>
    <col min="3" max="3" width="10.88671875" style="139" customWidth="1"/>
    <col min="4" max="4" width="16.44140625" style="139" customWidth="1"/>
    <col min="5" max="5" width="12" style="139" customWidth="1"/>
    <col min="6" max="6" width="16.5546875" style="139" customWidth="1"/>
    <col min="7" max="7" width="9.109375" style="139"/>
    <col min="8" max="8" width="15.44140625" style="139" customWidth="1"/>
    <col min="9" max="9" width="6.6640625" style="139" customWidth="1"/>
    <col min="10" max="10" width="7.44140625" style="139" customWidth="1"/>
    <col min="11" max="12" width="7.109375" style="139" customWidth="1"/>
    <col min="13" max="13" width="20.88671875" style="139" customWidth="1"/>
    <col min="14" max="16384" width="9.109375" style="139"/>
  </cols>
  <sheetData>
    <row r="1" spans="1:13" s="10" customFormat="1" ht="126.75" customHeight="1" thickBot="1" x14ac:dyDescent="0.35">
      <c r="A1" s="304" t="s">
        <v>129</v>
      </c>
      <c r="B1" s="237" t="s">
        <v>302</v>
      </c>
      <c r="C1" s="28" t="s">
        <v>128</v>
      </c>
      <c r="D1" s="28" t="s">
        <v>290</v>
      </c>
      <c r="E1" s="28" t="s">
        <v>292</v>
      </c>
      <c r="F1" s="28" t="s">
        <v>2</v>
      </c>
      <c r="G1" s="28" t="s">
        <v>130</v>
      </c>
      <c r="H1" s="28" t="s">
        <v>291</v>
      </c>
      <c r="I1" s="317" t="s">
        <v>261</v>
      </c>
      <c r="J1" s="317" t="s">
        <v>262</v>
      </c>
      <c r="K1" s="318" t="s">
        <v>324</v>
      </c>
      <c r="L1" s="318" t="s">
        <v>325</v>
      </c>
      <c r="M1" s="141" t="s">
        <v>131</v>
      </c>
    </row>
    <row r="2" spans="1:13" s="10" customFormat="1" ht="79.5" customHeight="1" x14ac:dyDescent="0.3">
      <c r="A2" s="142"/>
      <c r="B2" s="393"/>
      <c r="C2" s="396"/>
      <c r="D2" s="396"/>
      <c r="E2" s="396"/>
      <c r="F2" s="140"/>
      <c r="G2" s="396"/>
      <c r="H2" s="140"/>
      <c r="I2" s="140"/>
      <c r="J2" s="140"/>
      <c r="K2" s="399"/>
      <c r="L2" s="314"/>
      <c r="M2" s="143"/>
    </row>
    <row r="3" spans="1:13" s="10" customFormat="1" ht="79.5" customHeight="1" x14ac:dyDescent="0.3">
      <c r="A3" s="8"/>
      <c r="B3" s="393"/>
      <c r="C3" s="396"/>
      <c r="D3" s="396"/>
      <c r="E3" s="397"/>
      <c r="F3" s="11"/>
      <c r="G3" s="397"/>
      <c r="H3" s="11"/>
      <c r="I3" s="11"/>
      <c r="J3" s="11"/>
      <c r="K3" s="400"/>
      <c r="L3" s="315"/>
      <c r="M3" s="144"/>
    </row>
    <row r="4" spans="1:13" s="10" customFormat="1" ht="79.5" customHeight="1" x14ac:dyDescent="0.3">
      <c r="A4" s="8"/>
      <c r="B4" s="394"/>
      <c r="C4" s="397"/>
      <c r="D4" s="397"/>
      <c r="E4" s="397"/>
      <c r="F4" s="11"/>
      <c r="G4" s="397"/>
      <c r="H4" s="11"/>
      <c r="I4" s="11"/>
      <c r="J4" s="11"/>
      <c r="K4" s="400"/>
      <c r="L4" s="315"/>
      <c r="M4" s="144"/>
    </row>
    <row r="5" spans="1:13" s="10" customFormat="1" ht="79.5" customHeight="1" x14ac:dyDescent="0.3">
      <c r="A5" s="8"/>
      <c r="B5" s="394"/>
      <c r="C5" s="397"/>
      <c r="D5" s="397"/>
      <c r="E5" s="397"/>
      <c r="F5" s="11"/>
      <c r="G5" s="397"/>
      <c r="H5" s="11"/>
      <c r="I5" s="11"/>
      <c r="J5" s="11"/>
      <c r="K5" s="400"/>
      <c r="L5" s="315"/>
      <c r="M5" s="144"/>
    </row>
    <row r="6" spans="1:13" s="10" customFormat="1" ht="79.5" customHeight="1" thickBot="1" x14ac:dyDescent="0.35">
      <c r="A6" s="9"/>
      <c r="B6" s="395"/>
      <c r="C6" s="398"/>
      <c r="D6" s="398"/>
      <c r="E6" s="398"/>
      <c r="F6" s="12"/>
      <c r="G6" s="398"/>
      <c r="H6" s="12"/>
      <c r="I6" s="12"/>
      <c r="J6" s="12"/>
      <c r="K6" s="401"/>
      <c r="L6" s="316"/>
      <c r="M6" s="145"/>
    </row>
    <row r="8" spans="1:13" ht="15.6" x14ac:dyDescent="0.3">
      <c r="D8" s="236" t="s">
        <v>300</v>
      </c>
      <c r="E8" s="310"/>
      <c r="F8" s="309"/>
      <c r="G8" s="309"/>
      <c r="H8" s="309"/>
    </row>
    <row r="9" spans="1:13" x14ac:dyDescent="0.3">
      <c r="E9" s="309"/>
      <c r="F9" s="309"/>
      <c r="G9" s="309"/>
      <c r="H9" s="309"/>
    </row>
    <row r="10" spans="1:13" ht="15.6" x14ac:dyDescent="0.3">
      <c r="D10" s="236" t="s">
        <v>301</v>
      </c>
      <c r="E10" s="310"/>
      <c r="F10" s="309"/>
      <c r="G10" s="309"/>
      <c r="H10" s="309"/>
    </row>
  </sheetData>
  <dataValidations count="2">
    <dataValidation type="list" allowBlank="1" showInputMessage="1" showErrorMessage="1" sqref="D2:D6">
      <formula1>"A/C only, Heat Pump, Packaged, Window, Split"</formula1>
    </dataValidation>
    <dataValidation type="list" allowBlank="1" showInputMessage="1" showErrorMessage="1" sqref="M2:M6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7" customFormat="1" ht="105.75" customHeight="1" thickBot="1" x14ac:dyDescent="0.35">
      <c r="A1" s="125" t="s">
        <v>287</v>
      </c>
      <c r="B1" s="75" t="s">
        <v>233</v>
      </c>
      <c r="C1" s="75" t="s">
        <v>193</v>
      </c>
      <c r="D1" s="75" t="s">
        <v>11</v>
      </c>
      <c r="E1" s="75" t="s">
        <v>0</v>
      </c>
      <c r="F1" s="75" t="s">
        <v>14</v>
      </c>
      <c r="G1" s="75" t="s">
        <v>130</v>
      </c>
      <c r="H1" s="148" t="s">
        <v>230</v>
      </c>
      <c r="I1" s="116"/>
      <c r="J1" s="18"/>
    </row>
    <row r="2" spans="1:10" s="17" customFormat="1" ht="48" customHeight="1" x14ac:dyDescent="0.3">
      <c r="A2" s="149" t="s">
        <v>231</v>
      </c>
      <c r="B2" s="402"/>
      <c r="C2" s="402"/>
      <c r="D2" s="402"/>
      <c r="E2" s="146"/>
      <c r="F2" s="147"/>
      <c r="G2" s="406"/>
      <c r="H2" s="150"/>
      <c r="I2" s="117"/>
      <c r="J2" s="18"/>
    </row>
    <row r="3" spans="1:10" s="17" customFormat="1" ht="48" customHeight="1" thickBot="1" x14ac:dyDescent="0.35">
      <c r="A3" s="118" t="s">
        <v>232</v>
      </c>
      <c r="B3" s="403"/>
      <c r="C3" s="403"/>
      <c r="D3" s="403"/>
      <c r="E3" s="119"/>
      <c r="F3" s="120"/>
      <c r="G3" s="407"/>
      <c r="H3" s="151"/>
      <c r="I3" s="117"/>
      <c r="J3" s="18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2"/>
  <sheetViews>
    <sheetView view="pageBreakPreview" zoomScale="56" zoomScaleNormal="100" zoomScaleSheetLayoutView="56" zoomScalePageLayoutView="55" workbookViewId="0">
      <selection activeCell="B2" sqref="B2"/>
    </sheetView>
  </sheetViews>
  <sheetFormatPr defaultRowHeight="14.4" x14ac:dyDescent="0.3"/>
  <cols>
    <col min="1" max="1" width="43" bestFit="1" customWidth="1"/>
    <col min="2" max="2" width="12" bestFit="1" customWidth="1"/>
    <col min="3" max="3" width="2.44140625" customWidth="1"/>
    <col min="4" max="4" width="60.5546875" bestFit="1" customWidth="1"/>
    <col min="5" max="5" width="12" bestFit="1" customWidth="1"/>
    <col min="8" max="14" width="0" hidden="1" customWidth="1"/>
  </cols>
  <sheetData>
    <row r="1" spans="1:14" s="6" customFormat="1" ht="72" customHeight="1" thickBot="1" x14ac:dyDescent="0.35">
      <c r="A1" s="27" t="s">
        <v>192</v>
      </c>
      <c r="B1" s="68" t="s">
        <v>193</v>
      </c>
      <c r="C1" s="56"/>
      <c r="D1" s="27" t="s">
        <v>188</v>
      </c>
      <c r="E1" s="68" t="s">
        <v>193</v>
      </c>
      <c r="H1" s="307" t="s">
        <v>132</v>
      </c>
      <c r="I1" s="306">
        <v>1</v>
      </c>
      <c r="J1" s="90" t="s">
        <v>157</v>
      </c>
      <c r="K1" s="94"/>
    </row>
    <row r="2" spans="1:14" s="4" customFormat="1" ht="25.5" customHeight="1" x14ac:dyDescent="0.3">
      <c r="A2" s="307" t="s">
        <v>132</v>
      </c>
      <c r="B2" s="306"/>
      <c r="C2" s="50"/>
      <c r="D2" s="305" t="s">
        <v>154</v>
      </c>
      <c r="E2" s="306"/>
      <c r="H2" s="93"/>
      <c r="I2" s="94"/>
      <c r="J2" s="93"/>
      <c r="K2" s="94"/>
      <c r="L2" s="306"/>
      <c r="M2" s="305"/>
      <c r="N2" s="306"/>
    </row>
    <row r="3" spans="1:14" s="4" customFormat="1" ht="25.5" customHeight="1" x14ac:dyDescent="0.3">
      <c r="A3" s="93" t="s">
        <v>135</v>
      </c>
      <c r="B3" s="94"/>
      <c r="C3" s="50"/>
      <c r="D3" s="90" t="s">
        <v>155</v>
      </c>
      <c r="E3" s="94"/>
      <c r="H3" s="93"/>
      <c r="I3" s="94"/>
      <c r="J3" s="93"/>
      <c r="K3" s="94"/>
      <c r="L3" s="94"/>
    </row>
    <row r="4" spans="1:14" s="4" customFormat="1" ht="30" customHeight="1" x14ac:dyDescent="0.3">
      <c r="A4" s="93" t="s">
        <v>133</v>
      </c>
      <c r="B4" s="94"/>
      <c r="C4" s="50"/>
      <c r="D4" s="90" t="s">
        <v>156</v>
      </c>
      <c r="E4" s="94"/>
      <c r="H4" s="93"/>
      <c r="I4" s="94"/>
      <c r="J4" s="93"/>
      <c r="K4" s="94"/>
      <c r="L4" s="94"/>
    </row>
    <row r="5" spans="1:14" s="4" customFormat="1" ht="30" customHeight="1" x14ac:dyDescent="0.3">
      <c r="A5" s="93" t="s">
        <v>134</v>
      </c>
      <c r="B5" s="94"/>
      <c r="C5" s="51"/>
      <c r="D5" s="90" t="s">
        <v>157</v>
      </c>
      <c r="E5" s="94"/>
    </row>
    <row r="6" spans="1:14" s="4" customFormat="1" ht="30" customHeight="1" x14ac:dyDescent="0.3">
      <c r="A6" s="93" t="s">
        <v>136</v>
      </c>
      <c r="B6" s="94"/>
      <c r="C6" s="51"/>
      <c r="D6" s="90" t="s">
        <v>158</v>
      </c>
      <c r="E6" s="94"/>
    </row>
    <row r="7" spans="1:14" s="4" customFormat="1" ht="30" customHeight="1" x14ac:dyDescent="0.3">
      <c r="A7" s="93" t="s">
        <v>137</v>
      </c>
      <c r="B7" s="95"/>
      <c r="C7" s="51"/>
      <c r="D7" s="90" t="s">
        <v>159</v>
      </c>
      <c r="E7" s="95"/>
    </row>
    <row r="8" spans="1:14" s="4" customFormat="1" ht="30" customHeight="1" x14ac:dyDescent="0.3">
      <c r="A8" s="93" t="s">
        <v>138</v>
      </c>
      <c r="B8" s="94"/>
      <c r="C8" s="51"/>
      <c r="D8" s="90" t="s">
        <v>163</v>
      </c>
      <c r="E8" s="94"/>
    </row>
    <row r="9" spans="1:14" s="4" customFormat="1" ht="30" customHeight="1" x14ac:dyDescent="0.3">
      <c r="A9" s="93" t="s">
        <v>139</v>
      </c>
      <c r="B9" s="94"/>
      <c r="C9" s="51"/>
      <c r="D9" s="90" t="s">
        <v>164</v>
      </c>
      <c r="E9" s="95"/>
    </row>
    <row r="10" spans="1:14" s="4" customFormat="1" ht="30" customHeight="1" x14ac:dyDescent="0.3">
      <c r="A10" s="92" t="s">
        <v>140</v>
      </c>
      <c r="B10" s="94"/>
      <c r="C10" s="51"/>
      <c r="D10" s="90" t="s">
        <v>165</v>
      </c>
      <c r="E10" s="95"/>
    </row>
    <row r="11" spans="1:14" s="4" customFormat="1" ht="30" customHeight="1" x14ac:dyDescent="0.3">
      <c r="A11" s="93" t="s">
        <v>141</v>
      </c>
      <c r="B11" s="94"/>
      <c r="C11" s="51"/>
      <c r="D11" s="90" t="s">
        <v>166</v>
      </c>
      <c r="E11" s="95"/>
    </row>
    <row r="12" spans="1:14" s="4" customFormat="1" ht="35.25" customHeight="1" thickBot="1" x14ac:dyDescent="0.35">
      <c r="A12" s="96" t="s">
        <v>142</v>
      </c>
      <c r="B12" s="308"/>
      <c r="C12" s="51"/>
      <c r="D12" s="90" t="s">
        <v>167</v>
      </c>
      <c r="E12" s="95"/>
    </row>
    <row r="13" spans="1:14" s="4" customFormat="1" ht="35.25" customHeight="1" x14ac:dyDescent="0.3">
      <c r="A13" s="7"/>
      <c r="B13" s="49"/>
      <c r="C13" s="51"/>
      <c r="D13" s="90" t="s">
        <v>168</v>
      </c>
      <c r="E13" s="95"/>
    </row>
    <row r="14" spans="1:14" s="4" customFormat="1" ht="35.25" customHeight="1" x14ac:dyDescent="0.3">
      <c r="A14" s="7"/>
      <c r="B14" s="49"/>
      <c r="C14" s="51"/>
      <c r="D14" s="90" t="s">
        <v>169</v>
      </c>
      <c r="E14" s="95"/>
    </row>
    <row r="15" spans="1:14" s="4" customFormat="1" ht="35.25" customHeight="1" x14ac:dyDescent="0.3">
      <c r="A15" s="7"/>
      <c r="B15" s="49"/>
      <c r="C15" s="51"/>
      <c r="D15" s="90" t="s">
        <v>170</v>
      </c>
      <c r="E15" s="95"/>
    </row>
    <row r="16" spans="1:14" s="4" customFormat="1" ht="35.25" customHeight="1" x14ac:dyDescent="0.3">
      <c r="A16" s="7"/>
      <c r="B16" s="49"/>
      <c r="C16" s="51"/>
      <c r="D16" s="90" t="s">
        <v>171</v>
      </c>
      <c r="E16" s="95"/>
    </row>
    <row r="17" spans="1:5" s="4" customFormat="1" ht="35.25" customHeight="1" x14ac:dyDescent="0.3">
      <c r="A17" s="7"/>
      <c r="B17" s="49"/>
      <c r="C17" s="51"/>
      <c r="D17" s="90" t="s">
        <v>172</v>
      </c>
      <c r="E17" s="95"/>
    </row>
    <row r="18" spans="1:5" s="4" customFormat="1" ht="35.25" customHeight="1" x14ac:dyDescent="0.3">
      <c r="A18" s="7"/>
      <c r="B18" s="7"/>
      <c r="C18" s="51"/>
      <c r="D18" s="90" t="s">
        <v>173</v>
      </c>
      <c r="E18" s="95"/>
    </row>
    <row r="19" spans="1:5" s="4" customFormat="1" ht="35.25" customHeight="1" x14ac:dyDescent="0.3">
      <c r="A19" s="7"/>
      <c r="B19" s="7"/>
      <c r="C19" s="51"/>
      <c r="D19" s="90" t="s">
        <v>174</v>
      </c>
      <c r="E19" s="95"/>
    </row>
    <row r="20" spans="1:5" s="4" customFormat="1" ht="35.25" customHeight="1" x14ac:dyDescent="0.3">
      <c r="A20" s="7"/>
      <c r="B20" s="7"/>
      <c r="C20" s="51"/>
      <c r="D20" s="90" t="s">
        <v>175</v>
      </c>
      <c r="E20" s="95"/>
    </row>
    <row r="21" spans="1:5" s="4" customFormat="1" ht="35.25" customHeight="1" x14ac:dyDescent="0.3">
      <c r="A21" s="7"/>
      <c r="B21" s="7"/>
      <c r="C21" s="51"/>
      <c r="D21" s="90" t="s">
        <v>176</v>
      </c>
      <c r="E21" s="95"/>
    </row>
    <row r="22" spans="1:5" s="4" customFormat="1" ht="35.25" customHeight="1" thickBot="1" x14ac:dyDescent="0.35">
      <c r="A22" s="7"/>
      <c r="B22" s="7"/>
      <c r="C22" s="51"/>
      <c r="D22" s="91" t="s">
        <v>177</v>
      </c>
      <c r="E22" s="97"/>
    </row>
  </sheetData>
  <dataValidations count="1">
    <dataValidation type="list" allowBlank="1" showInputMessage="1" showErrorMessage="1" sqref="D2:D22 M2 J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5"/>
  <sheetViews>
    <sheetView view="pageBreakPreview" zoomScaleNormal="100" zoomScaleSheetLayoutView="100" workbookViewId="0"/>
  </sheetViews>
  <sheetFormatPr defaultColWidth="9.109375" defaultRowHeight="15.6" x14ac:dyDescent="0.3"/>
  <cols>
    <col min="1" max="1" width="37.33203125" style="81" bestFit="1" customWidth="1"/>
    <col min="2" max="2" width="9.44140625" style="81" bestFit="1" customWidth="1"/>
    <col min="3" max="3" width="3" style="81" customWidth="1"/>
    <col min="4" max="4" width="34.6640625" style="81" customWidth="1"/>
    <col min="5" max="5" width="9.44140625" style="81" bestFit="1" customWidth="1"/>
    <col min="6" max="7" width="9.109375" style="81"/>
    <col min="8" max="8" width="9.109375" style="81" hidden="1" customWidth="1"/>
    <col min="9" max="11" width="0" style="81" hidden="1" customWidth="1"/>
    <col min="12" max="16384" width="9.109375" style="81"/>
  </cols>
  <sheetData>
    <row r="1" spans="1:11" s="78" customFormat="1" ht="30" customHeight="1" thickBot="1" x14ac:dyDescent="0.35">
      <c r="A1" s="98" t="s">
        <v>194</v>
      </c>
      <c r="B1" s="77" t="s">
        <v>193</v>
      </c>
      <c r="D1" s="98" t="s">
        <v>195</v>
      </c>
      <c r="E1" s="77" t="s">
        <v>193</v>
      </c>
      <c r="H1" s="99" t="s">
        <v>152</v>
      </c>
      <c r="I1" s="100">
        <v>1</v>
      </c>
      <c r="J1" s="107" t="s">
        <v>160</v>
      </c>
      <c r="K1" s="100">
        <v>1</v>
      </c>
    </row>
    <row r="2" spans="1:11" s="78" customFormat="1" ht="37.5" customHeight="1" x14ac:dyDescent="0.3">
      <c r="A2" s="99" t="s">
        <v>152</v>
      </c>
      <c r="B2" s="100"/>
      <c r="D2" s="107" t="s">
        <v>160</v>
      </c>
      <c r="E2" s="100"/>
      <c r="H2" s="109" t="s">
        <v>143</v>
      </c>
      <c r="I2" s="100">
        <v>1</v>
      </c>
      <c r="J2" s="112" t="s">
        <v>178</v>
      </c>
      <c r="K2" s="100">
        <v>1</v>
      </c>
    </row>
    <row r="3" spans="1:11" s="78" customFormat="1" ht="37.5" customHeight="1" thickBot="1" x14ac:dyDescent="0.35">
      <c r="A3" s="102" t="s">
        <v>153</v>
      </c>
      <c r="B3" s="103"/>
      <c r="D3" s="108" t="s">
        <v>161</v>
      </c>
      <c r="E3" s="105"/>
      <c r="H3" s="109"/>
      <c r="I3" s="100"/>
      <c r="J3" s="112"/>
      <c r="K3" s="100"/>
    </row>
    <row r="4" spans="1:11" s="78" customFormat="1" ht="37.5" customHeight="1" x14ac:dyDescent="0.3">
      <c r="B4" s="79"/>
      <c r="D4" s="108" t="s">
        <v>162</v>
      </c>
      <c r="E4" s="105"/>
      <c r="H4" s="110"/>
      <c r="I4" s="105"/>
    </row>
    <row r="5" spans="1:11" s="78" customFormat="1" ht="9" customHeight="1" thickBot="1" x14ac:dyDescent="0.35">
      <c r="A5" s="79"/>
      <c r="B5" s="104"/>
      <c r="C5" s="82"/>
      <c r="D5" s="104"/>
      <c r="E5" s="82"/>
      <c r="H5" s="110"/>
      <c r="I5" s="105"/>
    </row>
    <row r="6" spans="1:11" s="78" customFormat="1" ht="30" customHeight="1" thickBot="1" x14ac:dyDescent="0.35">
      <c r="A6" s="98" t="s">
        <v>189</v>
      </c>
      <c r="B6" s="77" t="s">
        <v>193</v>
      </c>
      <c r="D6" s="98" t="s">
        <v>190</v>
      </c>
      <c r="E6" s="77" t="s">
        <v>193</v>
      </c>
    </row>
    <row r="7" spans="1:11" s="78" customFormat="1" ht="37.5" customHeight="1" x14ac:dyDescent="0.3">
      <c r="A7" s="109" t="s">
        <v>143</v>
      </c>
      <c r="B7" s="100"/>
      <c r="D7" s="112" t="s">
        <v>178</v>
      </c>
      <c r="E7" s="100"/>
    </row>
    <row r="8" spans="1:11" s="78" customFormat="1" ht="37.5" customHeight="1" x14ac:dyDescent="0.3">
      <c r="A8" s="110" t="s">
        <v>144</v>
      </c>
      <c r="B8" s="105"/>
      <c r="D8" s="113" t="s">
        <v>179</v>
      </c>
      <c r="E8" s="105"/>
    </row>
    <row r="9" spans="1:11" s="78" customFormat="1" ht="37.5" customHeight="1" x14ac:dyDescent="0.3">
      <c r="A9" s="110" t="s">
        <v>145</v>
      </c>
      <c r="B9" s="105"/>
      <c r="D9" s="114" t="s">
        <v>180</v>
      </c>
      <c r="E9" s="105"/>
    </row>
    <row r="10" spans="1:11" s="78" customFormat="1" ht="37.5" customHeight="1" x14ac:dyDescent="0.3">
      <c r="A10" s="110" t="s">
        <v>146</v>
      </c>
      <c r="B10" s="105"/>
      <c r="D10" s="114" t="s">
        <v>181</v>
      </c>
      <c r="E10" s="105"/>
    </row>
    <row r="11" spans="1:11" s="78" customFormat="1" ht="37.5" customHeight="1" x14ac:dyDescent="0.3">
      <c r="A11" s="110" t="s">
        <v>147</v>
      </c>
      <c r="B11" s="105"/>
      <c r="D11" s="114" t="s">
        <v>182</v>
      </c>
      <c r="E11" s="105"/>
    </row>
    <row r="12" spans="1:11" s="78" customFormat="1" ht="37.5" customHeight="1" x14ac:dyDescent="0.3">
      <c r="A12" s="110" t="s">
        <v>148</v>
      </c>
      <c r="B12" s="105"/>
      <c r="D12" s="114" t="s">
        <v>183</v>
      </c>
      <c r="E12" s="105"/>
    </row>
    <row r="13" spans="1:11" s="78" customFormat="1" ht="37.5" customHeight="1" x14ac:dyDescent="0.3">
      <c r="A13" s="110" t="s">
        <v>149</v>
      </c>
      <c r="B13" s="105"/>
      <c r="D13" s="114" t="s">
        <v>184</v>
      </c>
      <c r="E13" s="105"/>
    </row>
    <row r="14" spans="1:11" s="78" customFormat="1" ht="37.5" customHeight="1" x14ac:dyDescent="0.3">
      <c r="A14" s="110" t="s">
        <v>150</v>
      </c>
      <c r="B14" s="105"/>
      <c r="D14" s="113" t="s">
        <v>185</v>
      </c>
      <c r="E14" s="105"/>
    </row>
    <row r="15" spans="1:11" s="17" customFormat="1" ht="37.5" customHeight="1" thickBot="1" x14ac:dyDescent="0.35">
      <c r="A15" s="111" t="s">
        <v>151</v>
      </c>
      <c r="B15" s="106"/>
      <c r="D15" s="115" t="s">
        <v>186</v>
      </c>
      <c r="E15" s="106"/>
    </row>
  </sheetData>
  <dataValidations count="1">
    <dataValidation type="list" allowBlank="1" showInputMessage="1" showErrorMessage="1" sqref="D2:D4 E5 J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4" max="5" width="0" hidden="1" customWidth="1"/>
  </cols>
  <sheetData>
    <row r="1" spans="1:5" s="17" customFormat="1" ht="33" customHeight="1" thickBot="1" x14ac:dyDescent="0.35">
      <c r="A1" s="98" t="s">
        <v>293</v>
      </c>
      <c r="B1" s="77" t="s">
        <v>193</v>
      </c>
      <c r="D1" s="152" t="s">
        <v>196</v>
      </c>
      <c r="E1" s="153">
        <v>1</v>
      </c>
    </row>
    <row r="2" spans="1:5" s="17" customFormat="1" ht="45" customHeight="1" x14ac:dyDescent="0.3">
      <c r="A2" s="152" t="s">
        <v>196</v>
      </c>
      <c r="B2" s="153"/>
      <c r="D2" s="154"/>
      <c r="E2" s="155"/>
    </row>
    <row r="3" spans="1:5" s="17" customFormat="1" ht="45" customHeight="1" x14ac:dyDescent="0.3">
      <c r="A3" s="154" t="s">
        <v>197</v>
      </c>
      <c r="B3" s="155"/>
      <c r="D3" s="156"/>
      <c r="E3" s="157"/>
    </row>
    <row r="4" spans="1:5" s="17" customFormat="1" ht="45" customHeight="1" x14ac:dyDescent="0.3">
      <c r="A4" s="154" t="s">
        <v>198</v>
      </c>
      <c r="B4" s="155"/>
    </row>
    <row r="5" spans="1:5" s="17" customFormat="1" ht="45" customHeight="1" x14ac:dyDescent="0.3">
      <c r="A5" s="154" t="s">
        <v>199</v>
      </c>
      <c r="B5" s="155"/>
    </row>
    <row r="6" spans="1:5" s="17" customFormat="1" ht="45" customHeight="1" x14ac:dyDescent="0.3">
      <c r="A6" s="156" t="s">
        <v>200</v>
      </c>
      <c r="B6" s="157"/>
    </row>
    <row r="7" spans="1:5" s="17" customFormat="1" ht="45" customHeight="1" x14ac:dyDescent="0.3">
      <c r="A7" s="156" t="s">
        <v>201</v>
      </c>
      <c r="B7" s="157"/>
    </row>
    <row r="8" spans="1:5" s="17" customFormat="1" ht="45" customHeight="1" x14ac:dyDescent="0.3">
      <c r="A8" s="156" t="s">
        <v>202</v>
      </c>
      <c r="B8" s="157"/>
    </row>
    <row r="9" spans="1:5" s="17" customFormat="1" ht="45" customHeight="1" thickBot="1" x14ac:dyDescent="0.35">
      <c r="A9" s="158" t="s">
        <v>203</v>
      </c>
      <c r="B9" s="15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6" t="s">
        <v>228</v>
      </c>
      <c r="B1" s="29" t="s">
        <v>10</v>
      </c>
      <c r="C1" s="39" t="s">
        <v>193</v>
      </c>
      <c r="D1" s="312" t="s">
        <v>263</v>
      </c>
      <c r="E1" s="39" t="s">
        <v>229</v>
      </c>
      <c r="F1" s="28" t="s">
        <v>286</v>
      </c>
      <c r="G1" s="313" t="s">
        <v>230</v>
      </c>
    </row>
    <row r="2" spans="1:7" s="2" customFormat="1" ht="27" customHeight="1" x14ac:dyDescent="0.3">
      <c r="A2" s="83" t="s">
        <v>204</v>
      </c>
      <c r="B2" s="35"/>
      <c r="C2" s="35"/>
      <c r="D2" s="35"/>
      <c r="E2" s="84"/>
      <c r="F2" s="35"/>
      <c r="G2" s="85"/>
    </row>
    <row r="3" spans="1:7" s="2" customFormat="1" ht="27" customHeight="1" x14ac:dyDescent="0.3">
      <c r="A3" s="47" t="s">
        <v>205</v>
      </c>
      <c r="B3" s="37"/>
      <c r="C3" s="37"/>
      <c r="D3" s="37"/>
      <c r="E3" s="13"/>
      <c r="F3" s="37"/>
      <c r="G3" s="58"/>
    </row>
    <row r="4" spans="1:7" s="2" customFormat="1" ht="27" customHeight="1" x14ac:dyDescent="0.3">
      <c r="A4" s="47" t="s">
        <v>206</v>
      </c>
      <c r="B4" s="37"/>
      <c r="C4" s="37"/>
      <c r="D4" s="37"/>
      <c r="E4" s="13"/>
      <c r="F4" s="57"/>
      <c r="G4" s="58"/>
    </row>
    <row r="5" spans="1:7" s="2" customFormat="1" ht="27" customHeight="1" x14ac:dyDescent="0.3">
      <c r="A5" s="47" t="s">
        <v>207</v>
      </c>
      <c r="B5" s="37"/>
      <c r="C5" s="37"/>
      <c r="D5" s="37"/>
      <c r="E5" s="14"/>
      <c r="F5" s="57"/>
      <c r="G5" s="58"/>
    </row>
    <row r="6" spans="1:7" s="2" customFormat="1" ht="27" customHeight="1" x14ac:dyDescent="0.3">
      <c r="A6" s="47" t="s">
        <v>208</v>
      </c>
      <c r="B6" s="37"/>
      <c r="C6" s="37"/>
      <c r="D6" s="311"/>
      <c r="E6" s="15"/>
      <c r="F6" s="37"/>
      <c r="G6" s="58"/>
    </row>
    <row r="7" spans="1:7" s="2" customFormat="1" ht="27" customHeight="1" x14ac:dyDescent="0.3">
      <c r="A7" s="47" t="s">
        <v>209</v>
      </c>
      <c r="B7" s="37"/>
      <c r="C7" s="37"/>
      <c r="D7" s="311"/>
      <c r="E7" s="15"/>
      <c r="F7" s="57"/>
      <c r="G7" s="58"/>
    </row>
    <row r="8" spans="1:7" s="2" customFormat="1" ht="27" customHeight="1" x14ac:dyDescent="0.3">
      <c r="A8" s="47" t="s">
        <v>210</v>
      </c>
      <c r="B8" s="37"/>
      <c r="C8" s="37"/>
      <c r="D8" s="311"/>
      <c r="E8" s="15"/>
      <c r="F8" s="57"/>
      <c r="G8" s="58"/>
    </row>
    <row r="9" spans="1:7" s="2" customFormat="1" ht="27" customHeight="1" x14ac:dyDescent="0.3">
      <c r="A9" s="30" t="s">
        <v>211</v>
      </c>
      <c r="B9" s="37"/>
      <c r="C9" s="37"/>
      <c r="D9" s="311"/>
      <c r="E9" s="15"/>
      <c r="F9" s="57"/>
      <c r="G9" s="58"/>
    </row>
    <row r="10" spans="1:7" s="2" customFormat="1" ht="27" customHeight="1" x14ac:dyDescent="0.3">
      <c r="A10" s="47" t="s">
        <v>212</v>
      </c>
      <c r="B10" s="37"/>
      <c r="C10" s="37"/>
      <c r="D10" s="311"/>
      <c r="E10" s="15"/>
      <c r="F10" s="57"/>
      <c r="G10" s="58"/>
    </row>
    <row r="11" spans="1:7" s="2" customFormat="1" ht="27" customHeight="1" x14ac:dyDescent="0.3">
      <c r="A11" s="30" t="s">
        <v>213</v>
      </c>
      <c r="B11" s="37"/>
      <c r="C11" s="37"/>
      <c r="D11" s="311"/>
      <c r="E11" s="15"/>
      <c r="F11" s="57"/>
      <c r="G11" s="58"/>
    </row>
    <row r="12" spans="1:7" s="2" customFormat="1" ht="27" customHeight="1" x14ac:dyDescent="0.3">
      <c r="A12" s="30" t="s">
        <v>214</v>
      </c>
      <c r="B12" s="37"/>
      <c r="C12" s="37"/>
      <c r="D12" s="311"/>
      <c r="E12" s="15"/>
      <c r="F12" s="37"/>
      <c r="G12" s="58"/>
    </row>
    <row r="13" spans="1:7" s="2" customFormat="1" ht="27" customHeight="1" x14ac:dyDescent="0.3">
      <c r="A13" s="30" t="s">
        <v>215</v>
      </c>
      <c r="B13" s="37"/>
      <c r="C13" s="37"/>
      <c r="D13" s="311"/>
      <c r="E13" s="15"/>
      <c r="F13" s="37"/>
      <c r="G13" s="58"/>
    </row>
    <row r="14" spans="1:7" s="2" customFormat="1" ht="27" customHeight="1" x14ac:dyDescent="0.3">
      <c r="A14" s="30" t="s">
        <v>216</v>
      </c>
      <c r="B14" s="37"/>
      <c r="C14" s="37"/>
      <c r="D14" s="311"/>
      <c r="E14" s="15"/>
      <c r="F14" s="57"/>
      <c r="G14" s="58"/>
    </row>
    <row r="15" spans="1:7" s="2" customFormat="1" ht="27" customHeight="1" x14ac:dyDescent="0.3">
      <c r="A15" s="30" t="s">
        <v>217</v>
      </c>
      <c r="B15" s="37"/>
      <c r="C15" s="37"/>
      <c r="D15" s="311"/>
      <c r="E15" s="15"/>
      <c r="F15" s="57"/>
      <c r="G15" s="58"/>
    </row>
    <row r="16" spans="1:7" s="2" customFormat="1" ht="27" customHeight="1" x14ac:dyDescent="0.3">
      <c r="A16" s="30" t="s">
        <v>218</v>
      </c>
      <c r="B16" s="37"/>
      <c r="C16" s="37"/>
      <c r="D16" s="311"/>
      <c r="E16" s="15"/>
      <c r="F16" s="57"/>
      <c r="G16" s="58"/>
    </row>
    <row r="17" spans="1:7" s="2" customFormat="1" ht="27" customHeight="1" x14ac:dyDescent="0.3">
      <c r="A17" s="30" t="s">
        <v>219</v>
      </c>
      <c r="B17" s="37"/>
      <c r="C17" s="37"/>
      <c r="D17" s="311"/>
      <c r="E17" s="15"/>
      <c r="F17" s="57"/>
      <c r="G17" s="58"/>
    </row>
    <row r="18" spans="1:7" s="2" customFormat="1" ht="27" customHeight="1" x14ac:dyDescent="0.3">
      <c r="A18" s="30" t="s">
        <v>220</v>
      </c>
      <c r="B18" s="37"/>
      <c r="C18" s="37"/>
      <c r="D18" s="311"/>
      <c r="E18" s="15"/>
      <c r="F18" s="57"/>
      <c r="G18" s="58"/>
    </row>
    <row r="19" spans="1:7" s="2" customFormat="1" ht="27" customHeight="1" x14ac:dyDescent="0.3">
      <c r="A19" s="30" t="s">
        <v>1</v>
      </c>
      <c r="B19" s="37"/>
      <c r="C19" s="37"/>
      <c r="D19" s="311"/>
      <c r="E19" s="15"/>
      <c r="F19" s="37"/>
      <c r="G19" s="58"/>
    </row>
    <row r="20" spans="1:7" s="2" customFormat="1" ht="27" customHeight="1" x14ac:dyDescent="0.3">
      <c r="A20" s="30" t="s">
        <v>221</v>
      </c>
      <c r="B20" s="37"/>
      <c r="C20" s="37"/>
      <c r="D20" s="311"/>
      <c r="E20" s="15"/>
      <c r="F20" s="37"/>
      <c r="G20" s="58"/>
    </row>
    <row r="21" spans="1:7" s="2" customFormat="1" ht="27" customHeight="1" x14ac:dyDescent="0.3">
      <c r="A21" s="30" t="s">
        <v>222</v>
      </c>
      <c r="B21" s="37"/>
      <c r="C21" s="37"/>
      <c r="D21" s="311"/>
      <c r="E21" s="15"/>
      <c r="F21" s="37"/>
      <c r="G21" s="58"/>
    </row>
    <row r="22" spans="1:7" s="2" customFormat="1" ht="27" customHeight="1" x14ac:dyDescent="0.3">
      <c r="A22" s="30" t="s">
        <v>223</v>
      </c>
      <c r="B22" s="37"/>
      <c r="C22" s="37"/>
      <c r="D22" s="311"/>
      <c r="E22" s="15"/>
      <c r="F22" s="37"/>
      <c r="G22" s="58"/>
    </row>
    <row r="23" spans="1:7" s="2" customFormat="1" ht="27" customHeight="1" x14ac:dyDescent="0.3">
      <c r="A23" s="30" t="s">
        <v>224</v>
      </c>
      <c r="B23" s="37"/>
      <c r="C23" s="37"/>
      <c r="D23" s="311"/>
      <c r="E23" s="15"/>
      <c r="F23" s="37"/>
      <c r="G23" s="58"/>
    </row>
    <row r="24" spans="1:7" s="2" customFormat="1" ht="27" customHeight="1" x14ac:dyDescent="0.3">
      <c r="A24" s="30" t="s">
        <v>225</v>
      </c>
      <c r="B24" s="37"/>
      <c r="C24" s="37"/>
      <c r="D24" s="311"/>
      <c r="E24" s="15"/>
      <c r="F24" s="37"/>
      <c r="G24" s="58"/>
    </row>
    <row r="25" spans="1:7" s="2" customFormat="1" ht="27" customHeight="1" x14ac:dyDescent="0.3">
      <c r="A25" s="48" t="s">
        <v>226</v>
      </c>
      <c r="B25" s="37"/>
      <c r="C25" s="37"/>
      <c r="D25" s="311"/>
      <c r="E25" s="15"/>
      <c r="F25" s="57"/>
      <c r="G25" s="58"/>
    </row>
    <row r="26" spans="1:7" s="2" customFormat="1" ht="27" customHeight="1" thickBot="1" x14ac:dyDescent="0.35">
      <c r="A26" s="87" t="s">
        <v>227</v>
      </c>
      <c r="B26" s="33"/>
      <c r="C26" s="33"/>
      <c r="D26" s="33"/>
      <c r="E26" s="88"/>
      <c r="F26" s="89"/>
      <c r="G26" s="5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H23" sqref="H23"/>
    </sheetView>
  </sheetViews>
  <sheetFormatPr defaultColWidth="9.109375" defaultRowHeight="15" x14ac:dyDescent="0.25"/>
  <cols>
    <col min="1" max="1" width="48.6640625" style="136" bestFit="1" customWidth="1"/>
    <col min="2" max="2" width="13.6640625" style="136" customWidth="1"/>
    <col min="3" max="3" width="21.88671875" style="136" customWidth="1"/>
    <col min="4" max="4" width="35.5546875" style="136" customWidth="1"/>
    <col min="5" max="16384" width="9.109375" style="136"/>
  </cols>
  <sheetData>
    <row r="1" spans="1:4" s="80" customFormat="1" ht="36.75" customHeight="1" thickBot="1" x14ac:dyDescent="0.3">
      <c r="A1" s="125" t="s">
        <v>288</v>
      </c>
      <c r="B1" s="76" t="s">
        <v>193</v>
      </c>
      <c r="C1" s="76" t="s">
        <v>240</v>
      </c>
      <c r="D1" s="77" t="s">
        <v>241</v>
      </c>
    </row>
    <row r="2" spans="1:4" s="80" customFormat="1" ht="39" customHeight="1" x14ac:dyDescent="0.25">
      <c r="A2" s="126" t="s">
        <v>236</v>
      </c>
      <c r="B2" s="130"/>
      <c r="C2" s="130"/>
      <c r="D2" s="131"/>
    </row>
    <row r="3" spans="1:4" s="80" customFormat="1" ht="39" customHeight="1" x14ac:dyDescent="0.25">
      <c r="A3" s="127" t="s">
        <v>237</v>
      </c>
      <c r="B3" s="132"/>
      <c r="C3" s="132"/>
      <c r="D3" s="133"/>
    </row>
    <row r="4" spans="1:4" s="80" customFormat="1" ht="39" customHeight="1" x14ac:dyDescent="0.25">
      <c r="A4" s="128" t="s">
        <v>238</v>
      </c>
      <c r="B4" s="124"/>
      <c r="C4" s="124"/>
      <c r="D4" s="134"/>
    </row>
    <row r="5" spans="1:4" s="80" customFormat="1" ht="39" customHeight="1" x14ac:dyDescent="0.25">
      <c r="A5" s="128" t="s">
        <v>239</v>
      </c>
      <c r="B5" s="124"/>
      <c r="C5" s="124"/>
      <c r="D5" s="134"/>
    </row>
    <row r="6" spans="1:4" s="80" customFormat="1" ht="39" customHeight="1" thickBot="1" x14ac:dyDescent="0.3">
      <c r="A6" s="138" t="s">
        <v>289</v>
      </c>
      <c r="B6" s="119"/>
      <c r="C6" s="119"/>
      <c r="D6" s="135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7" customFormat="1" ht="111" customHeight="1" thickBot="1" x14ac:dyDescent="0.35">
      <c r="A1" s="125" t="s">
        <v>294</v>
      </c>
      <c r="B1" s="76" t="s">
        <v>193</v>
      </c>
      <c r="C1" s="75" t="s">
        <v>295</v>
      </c>
      <c r="D1" s="75" t="s">
        <v>130</v>
      </c>
      <c r="E1" s="148" t="s">
        <v>230</v>
      </c>
      <c r="F1" s="122"/>
      <c r="G1" s="18"/>
    </row>
    <row r="2" spans="1:7" s="17" customFormat="1" ht="51" customHeight="1" x14ac:dyDescent="0.3">
      <c r="A2" s="161" t="s">
        <v>234</v>
      </c>
      <c r="B2" s="404"/>
      <c r="C2" s="160"/>
      <c r="D2" s="160"/>
      <c r="E2" s="101"/>
      <c r="F2" s="123"/>
      <c r="G2" s="18"/>
    </row>
    <row r="3" spans="1:7" s="17" customFormat="1" ht="25.5" customHeight="1" x14ac:dyDescent="0.3">
      <c r="A3" s="128" t="s">
        <v>12</v>
      </c>
      <c r="B3" s="405"/>
      <c r="C3" s="121"/>
      <c r="D3" s="121"/>
      <c r="E3" s="129"/>
      <c r="F3" s="123"/>
      <c r="G3" s="18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14"/>
  <sheetViews>
    <sheetView view="pageBreakPreview" zoomScale="115" zoomScaleNormal="100" zoomScaleSheetLayoutView="115" zoomScalePageLayoutView="85" workbookViewId="0"/>
  </sheetViews>
  <sheetFormatPr defaultRowHeight="14.4" x14ac:dyDescent="0.3"/>
  <cols>
    <col min="1" max="1" width="20.5546875" bestFit="1" customWidth="1"/>
    <col min="2" max="2" width="21.88671875" customWidth="1"/>
    <col min="3" max="3" width="15.44140625" bestFit="1" customWidth="1"/>
    <col min="4" max="4" width="24.5546875" customWidth="1"/>
  </cols>
  <sheetData>
    <row r="1" spans="1:4" ht="43.5" customHeight="1" thickBot="1" x14ac:dyDescent="0.35">
      <c r="A1" s="137" t="s">
        <v>242</v>
      </c>
      <c r="B1" s="28" t="s">
        <v>255</v>
      </c>
      <c r="C1" s="28" t="s">
        <v>256</v>
      </c>
      <c r="D1" s="68" t="s">
        <v>257</v>
      </c>
    </row>
    <row r="2" spans="1:4" ht="25.5" customHeight="1" x14ac:dyDescent="0.3">
      <c r="A2" s="162" t="s">
        <v>243</v>
      </c>
      <c r="B2" s="35"/>
      <c r="C2" s="35"/>
      <c r="D2" s="36"/>
    </row>
    <row r="3" spans="1:4" ht="25.5" customHeight="1" x14ac:dyDescent="0.3">
      <c r="A3" s="163" t="s">
        <v>244</v>
      </c>
      <c r="B3" s="37"/>
      <c r="C3" s="37"/>
      <c r="D3" s="38"/>
    </row>
    <row r="4" spans="1:4" ht="25.5" customHeight="1" x14ac:dyDescent="0.3">
      <c r="A4" s="163" t="s">
        <v>245</v>
      </c>
      <c r="B4" s="37"/>
      <c r="C4" s="37"/>
      <c r="D4" s="38"/>
    </row>
    <row r="5" spans="1:4" ht="25.5" customHeight="1" x14ac:dyDescent="0.3">
      <c r="A5" s="163" t="s">
        <v>246</v>
      </c>
      <c r="B5" s="37"/>
      <c r="C5" s="37"/>
      <c r="D5" s="38"/>
    </row>
    <row r="6" spans="1:4" ht="25.5" customHeight="1" x14ac:dyDescent="0.3">
      <c r="A6" s="163" t="s">
        <v>247</v>
      </c>
      <c r="B6" s="37"/>
      <c r="C6" s="37"/>
      <c r="D6" s="38"/>
    </row>
    <row r="7" spans="1:4" ht="25.5" customHeight="1" x14ac:dyDescent="0.3">
      <c r="A7" s="163" t="s">
        <v>248</v>
      </c>
      <c r="B7" s="37"/>
      <c r="C7" s="37"/>
      <c r="D7" s="38"/>
    </row>
    <row r="8" spans="1:4" ht="25.5" customHeight="1" x14ac:dyDescent="0.3">
      <c r="A8" s="163" t="s">
        <v>249</v>
      </c>
      <c r="B8" s="37"/>
      <c r="C8" s="37"/>
      <c r="D8" s="38"/>
    </row>
    <row r="9" spans="1:4" ht="25.5" customHeight="1" x14ac:dyDescent="0.3">
      <c r="A9" s="163" t="s">
        <v>250</v>
      </c>
      <c r="B9" s="37"/>
      <c r="C9" s="37"/>
      <c r="D9" s="38"/>
    </row>
    <row r="10" spans="1:4" ht="25.5" customHeight="1" x14ac:dyDescent="0.3">
      <c r="A10" s="163" t="s">
        <v>251</v>
      </c>
      <c r="B10" s="16"/>
      <c r="C10" s="62"/>
      <c r="D10" s="38"/>
    </row>
    <row r="11" spans="1:4" ht="25.5" customHeight="1" x14ac:dyDescent="0.3">
      <c r="A11" s="163" t="s">
        <v>252</v>
      </c>
      <c r="B11" s="16"/>
      <c r="C11" s="62"/>
      <c r="D11" s="38"/>
    </row>
    <row r="12" spans="1:4" ht="25.5" customHeight="1" x14ac:dyDescent="0.3">
      <c r="A12" s="163" t="s">
        <v>253</v>
      </c>
      <c r="B12" s="40"/>
      <c r="C12" s="52"/>
      <c r="D12" s="38"/>
    </row>
    <row r="13" spans="1:4" ht="25.5" customHeight="1" x14ac:dyDescent="0.3">
      <c r="A13" s="163" t="s">
        <v>254</v>
      </c>
      <c r="B13" s="40"/>
      <c r="C13" s="52"/>
      <c r="D13" s="38"/>
    </row>
    <row r="14" spans="1:4" ht="25.5" customHeight="1" thickBot="1" x14ac:dyDescent="0.35">
      <c r="A14" s="164" t="s">
        <v>1</v>
      </c>
      <c r="B14" s="32"/>
      <c r="C14" s="61"/>
      <c r="D14" s="34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sqref="A1:B1"/>
    </sheetView>
  </sheetViews>
  <sheetFormatPr defaultRowHeight="14.4" x14ac:dyDescent="0.3"/>
  <cols>
    <col min="2" max="2" width="107.5546875" bestFit="1" customWidth="1"/>
    <col min="4" max="5" width="0" hidden="1" customWidth="1"/>
  </cols>
  <sheetData>
    <row r="1" spans="1:5" s="20" customFormat="1" ht="29.25" customHeight="1" thickBot="1" x14ac:dyDescent="0.4">
      <c r="A1" s="429"/>
      <c r="B1" s="430"/>
      <c r="D1" s="168" t="s">
        <v>69</v>
      </c>
      <c r="E1" s="167">
        <v>1</v>
      </c>
    </row>
    <row r="2" spans="1:5" s="20" customFormat="1" ht="37.5" customHeight="1" x14ac:dyDescent="0.35">
      <c r="A2" s="165"/>
      <c r="B2" s="166" t="s">
        <v>58</v>
      </c>
      <c r="D2" s="168" t="s">
        <v>74</v>
      </c>
      <c r="E2" s="167">
        <v>1</v>
      </c>
    </row>
    <row r="3" spans="1:5" s="20" customFormat="1" ht="37.5" customHeight="1" thickBot="1" x14ac:dyDescent="0.4">
      <c r="A3" s="167"/>
      <c r="B3" s="168" t="s">
        <v>59</v>
      </c>
      <c r="D3" s="170"/>
      <c r="E3" s="169"/>
    </row>
    <row r="4" spans="1:5" s="20" customFormat="1" ht="37.5" customHeight="1" x14ac:dyDescent="0.35">
      <c r="A4" s="167"/>
      <c r="B4" s="168" t="s">
        <v>60</v>
      </c>
    </row>
    <row r="5" spans="1:5" s="20" customFormat="1" ht="37.5" customHeight="1" x14ac:dyDescent="0.35">
      <c r="A5" s="167"/>
      <c r="B5" s="168" t="s">
        <v>61</v>
      </c>
    </row>
    <row r="6" spans="1:5" s="20" customFormat="1" ht="37.5" customHeight="1" x14ac:dyDescent="0.35">
      <c r="A6" s="167"/>
      <c r="B6" s="168" t="s">
        <v>62</v>
      </c>
    </row>
    <row r="7" spans="1:5" s="20" customFormat="1" ht="37.5" customHeight="1" x14ac:dyDescent="0.35">
      <c r="A7" s="167"/>
      <c r="B7" s="168" t="s">
        <v>63</v>
      </c>
    </row>
    <row r="8" spans="1:5" s="20" customFormat="1" ht="37.5" customHeight="1" x14ac:dyDescent="0.35">
      <c r="A8" s="167"/>
      <c r="B8" s="168" t="s">
        <v>64</v>
      </c>
    </row>
    <row r="9" spans="1:5" s="20" customFormat="1" ht="37.5" customHeight="1" x14ac:dyDescent="0.35">
      <c r="A9" s="167"/>
      <c r="B9" s="168" t="s">
        <v>65</v>
      </c>
    </row>
    <row r="10" spans="1:5" s="20" customFormat="1" ht="37.5" customHeight="1" x14ac:dyDescent="0.35">
      <c r="A10" s="167"/>
      <c r="B10" s="168" t="s">
        <v>66</v>
      </c>
    </row>
    <row r="11" spans="1:5" s="20" customFormat="1" ht="37.5" customHeight="1" x14ac:dyDescent="0.35">
      <c r="A11" s="167"/>
      <c r="B11" s="168" t="s">
        <v>67</v>
      </c>
    </row>
    <row r="12" spans="1:5" s="20" customFormat="1" ht="37.5" customHeight="1" x14ac:dyDescent="0.35">
      <c r="A12" s="167"/>
      <c r="B12" s="168" t="s">
        <v>68</v>
      </c>
    </row>
    <row r="13" spans="1:5" s="20" customFormat="1" ht="37.5" customHeight="1" x14ac:dyDescent="0.35">
      <c r="A13" s="167"/>
      <c r="B13" s="168" t="s">
        <v>69</v>
      </c>
    </row>
    <row r="14" spans="1:5" s="20" customFormat="1" ht="37.5" customHeight="1" x14ac:dyDescent="0.35">
      <c r="A14" s="167"/>
      <c r="B14" s="168" t="s">
        <v>70</v>
      </c>
    </row>
    <row r="15" spans="1:5" s="20" customFormat="1" ht="37.5" customHeight="1" x14ac:dyDescent="0.35">
      <c r="A15" s="167"/>
      <c r="B15" s="168" t="s">
        <v>71</v>
      </c>
    </row>
    <row r="16" spans="1:5" s="20" customFormat="1" ht="37.5" customHeight="1" x14ac:dyDescent="0.35">
      <c r="A16" s="167"/>
      <c r="B16" s="168" t="s">
        <v>72</v>
      </c>
    </row>
    <row r="17" spans="1:2" s="20" customFormat="1" ht="37.5" customHeight="1" x14ac:dyDescent="0.35">
      <c r="A17" s="167"/>
      <c r="B17" s="168" t="s">
        <v>73</v>
      </c>
    </row>
    <row r="18" spans="1:2" s="20" customFormat="1" ht="37.5" customHeight="1" x14ac:dyDescent="0.35">
      <c r="A18" s="167"/>
      <c r="B18" s="168" t="s">
        <v>74</v>
      </c>
    </row>
    <row r="19" spans="1:2" s="20" customFormat="1" ht="37.5" customHeight="1" x14ac:dyDescent="0.35">
      <c r="A19" s="167"/>
      <c r="B19" s="168" t="s">
        <v>75</v>
      </c>
    </row>
    <row r="20" spans="1:2" s="20" customFormat="1" ht="37.5" customHeight="1" x14ac:dyDescent="0.35">
      <c r="A20" s="167"/>
      <c r="B20" s="168" t="s">
        <v>76</v>
      </c>
    </row>
    <row r="21" spans="1:2" s="20" customFormat="1" ht="37.5" customHeight="1" x14ac:dyDescent="0.35">
      <c r="A21" s="167"/>
      <c r="B21" s="168" t="s">
        <v>77</v>
      </c>
    </row>
    <row r="22" spans="1:2" s="20" customFormat="1" ht="37.5" customHeight="1" x14ac:dyDescent="0.35">
      <c r="A22" s="167"/>
      <c r="B22" s="168" t="s">
        <v>78</v>
      </c>
    </row>
    <row r="23" spans="1:2" s="20" customFormat="1" ht="37.5" customHeight="1" thickBot="1" x14ac:dyDescent="0.4">
      <c r="A23" s="169"/>
      <c r="B23" s="170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4" max="4" width="73.6640625" hidden="1" customWidth="1"/>
    <col min="5" max="5" width="0" hidden="1" customWidth="1"/>
    <col min="9" max="9" width="158.5546875" hidden="1" customWidth="1"/>
    <col min="10" max="10" width="9.109375" hidden="1" customWidth="1"/>
    <col min="11" max="23" width="0" hidden="1" customWidth="1"/>
  </cols>
  <sheetData>
    <row r="1" spans="1:23" s="22" customFormat="1" ht="29.25" customHeight="1" thickBot="1" x14ac:dyDescent="0.35">
      <c r="A1" s="448" t="s">
        <v>34</v>
      </c>
      <c r="B1" s="449"/>
      <c r="C1" s="19"/>
      <c r="D1" s="172" t="s">
        <v>21</v>
      </c>
      <c r="E1" s="167">
        <v>1</v>
      </c>
      <c r="I1" s="166" t="s">
        <v>19</v>
      </c>
      <c r="J1" s="443" t="s">
        <v>19</v>
      </c>
      <c r="K1" s="444"/>
      <c r="L1" s="444"/>
      <c r="M1" s="444"/>
      <c r="N1" s="444"/>
      <c r="O1" s="444"/>
      <c r="P1" s="444"/>
      <c r="Q1" s="444"/>
      <c r="R1" s="444"/>
      <c r="S1" s="444"/>
      <c r="T1" s="444"/>
      <c r="U1" s="444"/>
      <c r="V1" s="444"/>
      <c r="W1" s="444"/>
    </row>
    <row r="2" spans="1:23" s="20" customFormat="1" ht="35.25" customHeight="1" x14ac:dyDescent="0.35">
      <c r="A2" s="165"/>
      <c r="B2" s="166" t="s">
        <v>19</v>
      </c>
      <c r="C2" s="19"/>
      <c r="D2" s="168" t="s">
        <v>33</v>
      </c>
      <c r="E2" s="167">
        <v>1</v>
      </c>
      <c r="I2" s="168" t="s">
        <v>20</v>
      </c>
      <c r="J2" s="443" t="s">
        <v>20</v>
      </c>
      <c r="K2" s="444"/>
      <c r="L2" s="444"/>
      <c r="M2" s="444"/>
      <c r="N2" s="444"/>
      <c r="O2" s="444"/>
      <c r="P2" s="444"/>
      <c r="Q2" s="444"/>
      <c r="R2" s="444"/>
      <c r="S2" s="444"/>
      <c r="T2" s="444"/>
      <c r="U2" s="444"/>
      <c r="V2" s="444"/>
      <c r="W2" s="444"/>
    </row>
    <row r="3" spans="1:23" s="20" customFormat="1" ht="35.25" customHeight="1" x14ac:dyDescent="0.35">
      <c r="A3" s="167"/>
      <c r="B3" s="168" t="s">
        <v>20</v>
      </c>
      <c r="C3" s="19"/>
      <c r="D3" s="179" t="s">
        <v>38</v>
      </c>
      <c r="E3" s="167">
        <v>1</v>
      </c>
      <c r="I3" s="172" t="s">
        <v>187</v>
      </c>
      <c r="J3" s="442" t="s">
        <v>634</v>
      </c>
      <c r="K3" s="442"/>
      <c r="L3" s="442"/>
      <c r="M3" s="442"/>
      <c r="N3" s="442"/>
      <c r="O3" s="442"/>
      <c r="P3" s="442"/>
      <c r="Q3" s="442"/>
      <c r="R3" s="442"/>
      <c r="S3" s="442"/>
      <c r="T3" s="442"/>
      <c r="U3" s="442"/>
      <c r="V3" s="442"/>
      <c r="W3" s="442"/>
    </row>
    <row r="4" spans="1:23" s="20" customFormat="1" ht="35.25" customHeight="1" x14ac:dyDescent="0.35">
      <c r="A4" s="167"/>
      <c r="B4" s="172" t="s">
        <v>187</v>
      </c>
      <c r="C4" s="19"/>
      <c r="D4" s="168"/>
      <c r="E4" s="163"/>
      <c r="I4" s="172" t="s">
        <v>21</v>
      </c>
      <c r="J4" s="445" t="s">
        <v>21</v>
      </c>
      <c r="K4" s="435"/>
      <c r="L4" s="435"/>
      <c r="M4" s="435"/>
      <c r="N4" s="435"/>
      <c r="O4" s="435"/>
      <c r="P4" s="435"/>
      <c r="Q4" s="435"/>
      <c r="R4" s="435"/>
      <c r="S4" s="435"/>
      <c r="T4" s="435"/>
      <c r="U4" s="435"/>
      <c r="V4" s="435"/>
      <c r="W4" s="436"/>
    </row>
    <row r="5" spans="1:23" s="20" customFormat="1" ht="35.25" customHeight="1" x14ac:dyDescent="0.35">
      <c r="A5" s="167"/>
      <c r="B5" s="172" t="s">
        <v>21</v>
      </c>
      <c r="C5" s="19"/>
      <c r="D5" s="168"/>
      <c r="E5" s="167"/>
      <c r="I5" s="172" t="s">
        <v>22</v>
      </c>
      <c r="J5" s="445" t="s">
        <v>22</v>
      </c>
      <c r="K5" s="435"/>
      <c r="L5" s="435"/>
      <c r="M5" s="435"/>
      <c r="N5" s="435"/>
      <c r="O5" s="435"/>
      <c r="P5" s="435"/>
      <c r="Q5" s="435"/>
      <c r="R5" s="435"/>
      <c r="S5" s="435"/>
      <c r="T5" s="435"/>
      <c r="U5" s="435"/>
      <c r="V5" s="435"/>
      <c r="W5" s="436"/>
    </row>
    <row r="6" spans="1:23" s="20" customFormat="1" ht="35.25" customHeight="1" x14ac:dyDescent="0.35">
      <c r="A6" s="167"/>
      <c r="B6" s="172" t="s">
        <v>22</v>
      </c>
      <c r="C6" s="19"/>
      <c r="D6" s="177"/>
      <c r="E6" s="167"/>
      <c r="I6" s="172" t="s">
        <v>23</v>
      </c>
      <c r="J6" s="440" t="s">
        <v>635</v>
      </c>
      <c r="K6" s="441"/>
      <c r="L6" s="441"/>
      <c r="M6" s="441"/>
      <c r="N6" s="441"/>
      <c r="O6" s="441"/>
      <c r="P6" s="441"/>
      <c r="Q6" s="441"/>
      <c r="R6" s="441"/>
      <c r="S6" s="441"/>
      <c r="T6" s="441"/>
      <c r="U6" s="441"/>
      <c r="V6" s="441"/>
      <c r="W6" s="441"/>
    </row>
    <row r="7" spans="1:23" s="20" customFormat="1" ht="35.25" customHeight="1" thickBot="1" x14ac:dyDescent="0.4">
      <c r="A7" s="167"/>
      <c r="B7" s="172" t="s">
        <v>23</v>
      </c>
      <c r="C7" s="19"/>
      <c r="D7" s="179"/>
      <c r="E7" s="167"/>
      <c r="I7" s="173" t="s">
        <v>24</v>
      </c>
      <c r="J7" s="442" t="s">
        <v>636</v>
      </c>
      <c r="K7" s="442"/>
      <c r="L7" s="442"/>
      <c r="M7" s="442"/>
      <c r="N7" s="442"/>
      <c r="O7" s="442"/>
      <c r="P7" s="442"/>
      <c r="Q7" s="442"/>
      <c r="R7" s="442"/>
      <c r="S7" s="442"/>
      <c r="T7" s="442"/>
      <c r="U7" s="442"/>
      <c r="V7" s="442"/>
      <c r="W7" s="442"/>
    </row>
    <row r="8" spans="1:23" s="20" customFormat="1" ht="35.25" customHeight="1" thickBot="1" x14ac:dyDescent="0.4">
      <c r="A8" s="169"/>
      <c r="B8" s="173" t="s">
        <v>24</v>
      </c>
      <c r="C8" s="19"/>
      <c r="D8" s="168"/>
      <c r="E8" s="163"/>
      <c r="I8" s="175" t="s">
        <v>25</v>
      </c>
      <c r="J8" s="434" t="s">
        <v>637</v>
      </c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6"/>
    </row>
    <row r="9" spans="1:23" s="22" customFormat="1" ht="29.25" customHeight="1" thickBot="1" x14ac:dyDescent="0.35">
      <c r="A9" s="174" t="s">
        <v>35</v>
      </c>
      <c r="B9" s="171"/>
      <c r="C9" s="19"/>
      <c r="D9" s="168"/>
      <c r="E9" s="167"/>
      <c r="I9" s="176" t="s">
        <v>26</v>
      </c>
      <c r="J9" s="434" t="s">
        <v>638</v>
      </c>
      <c r="K9" s="435"/>
      <c r="L9" s="435"/>
      <c r="M9" s="435"/>
      <c r="N9" s="435"/>
      <c r="O9" s="435"/>
      <c r="P9" s="435"/>
      <c r="Q9" s="435"/>
      <c r="R9" s="435"/>
      <c r="S9" s="435"/>
      <c r="T9" s="435"/>
      <c r="U9" s="435"/>
      <c r="V9" s="435"/>
      <c r="W9" s="436"/>
    </row>
    <row r="10" spans="1:23" s="22" customFormat="1" ht="51" customHeight="1" x14ac:dyDescent="0.3">
      <c r="A10" s="167"/>
      <c r="B10" s="175" t="s">
        <v>25</v>
      </c>
      <c r="C10" s="19"/>
      <c r="I10" s="168" t="s">
        <v>27</v>
      </c>
      <c r="J10" s="431" t="s">
        <v>639</v>
      </c>
      <c r="K10" s="432"/>
      <c r="L10" s="432"/>
      <c r="M10" s="432"/>
      <c r="N10" s="432"/>
      <c r="O10" s="432"/>
      <c r="P10" s="432"/>
      <c r="Q10" s="432"/>
      <c r="R10" s="432"/>
      <c r="S10" s="432"/>
      <c r="T10" s="432"/>
      <c r="U10" s="432"/>
      <c r="V10" s="432"/>
      <c r="W10" s="433"/>
    </row>
    <row r="11" spans="1:23" s="22" customFormat="1" ht="51" customHeight="1" x14ac:dyDescent="0.3">
      <c r="A11" s="167"/>
      <c r="B11" s="176" t="s">
        <v>26</v>
      </c>
      <c r="C11" s="19"/>
      <c r="I11" s="168" t="s">
        <v>33</v>
      </c>
      <c r="J11" s="431" t="s">
        <v>640</v>
      </c>
      <c r="K11" s="432"/>
      <c r="L11" s="432"/>
      <c r="M11" s="432"/>
      <c r="N11" s="432"/>
      <c r="O11" s="432"/>
      <c r="P11" s="432"/>
      <c r="Q11" s="432"/>
      <c r="R11" s="432"/>
      <c r="S11" s="432"/>
      <c r="T11" s="432"/>
      <c r="U11" s="432"/>
      <c r="V11" s="432"/>
      <c r="W11" s="433"/>
    </row>
    <row r="12" spans="1:23" s="22" customFormat="1" ht="51" customHeight="1" x14ac:dyDescent="0.3">
      <c r="A12" s="163"/>
      <c r="B12" s="168" t="s">
        <v>27</v>
      </c>
      <c r="C12" s="19"/>
      <c r="I12" s="168" t="s">
        <v>28</v>
      </c>
      <c r="J12" s="431" t="s">
        <v>641</v>
      </c>
      <c r="K12" s="432"/>
      <c r="L12" s="432"/>
      <c r="M12" s="432"/>
      <c r="N12" s="432"/>
      <c r="O12" s="432"/>
      <c r="P12" s="432"/>
      <c r="Q12" s="432"/>
      <c r="R12" s="432"/>
      <c r="S12" s="432"/>
      <c r="T12" s="432"/>
      <c r="U12" s="432"/>
      <c r="V12" s="432"/>
      <c r="W12" s="433"/>
    </row>
    <row r="13" spans="1:23" s="22" customFormat="1" ht="51" customHeight="1" x14ac:dyDescent="0.3">
      <c r="A13" s="167"/>
      <c r="B13" s="168" t="s">
        <v>33</v>
      </c>
      <c r="C13" s="19"/>
      <c r="I13" s="177" t="s">
        <v>29</v>
      </c>
      <c r="J13" s="434" t="s">
        <v>642</v>
      </c>
      <c r="K13" s="435"/>
      <c r="L13" s="435"/>
      <c r="M13" s="435"/>
      <c r="N13" s="435"/>
      <c r="O13" s="435"/>
      <c r="P13" s="435"/>
      <c r="Q13" s="435"/>
      <c r="R13" s="435"/>
      <c r="S13" s="435"/>
      <c r="T13" s="435"/>
      <c r="U13" s="435"/>
      <c r="V13" s="435"/>
      <c r="W13" s="436"/>
    </row>
    <row r="14" spans="1:23" s="20" customFormat="1" ht="51" customHeight="1" x14ac:dyDescent="0.35">
      <c r="A14" s="167"/>
      <c r="B14" s="168" t="s">
        <v>28</v>
      </c>
      <c r="C14" s="19"/>
      <c r="D14" s="21"/>
      <c r="I14" s="178" t="s">
        <v>30</v>
      </c>
      <c r="J14" s="431" t="s">
        <v>643</v>
      </c>
      <c r="K14" s="432"/>
      <c r="L14" s="432"/>
      <c r="M14" s="432"/>
      <c r="N14" s="432"/>
      <c r="O14" s="432"/>
      <c r="P14" s="432"/>
      <c r="Q14" s="432"/>
      <c r="R14" s="432"/>
      <c r="S14" s="432"/>
      <c r="T14" s="432"/>
      <c r="U14" s="432"/>
      <c r="V14" s="432"/>
      <c r="W14" s="433"/>
    </row>
    <row r="15" spans="1:23" s="20" customFormat="1" ht="51" customHeight="1" x14ac:dyDescent="0.35">
      <c r="A15" s="167"/>
      <c r="B15" s="177" t="s">
        <v>29</v>
      </c>
      <c r="C15" s="19"/>
      <c r="D15" s="21"/>
      <c r="I15" s="179" t="s">
        <v>38</v>
      </c>
      <c r="J15" s="437" t="s">
        <v>644</v>
      </c>
      <c r="K15" s="438"/>
      <c r="L15" s="438"/>
      <c r="M15" s="438"/>
      <c r="N15" s="438"/>
      <c r="O15" s="438"/>
      <c r="P15" s="438"/>
      <c r="Q15" s="438"/>
      <c r="R15" s="438"/>
      <c r="S15" s="438"/>
      <c r="T15" s="438"/>
      <c r="U15" s="438"/>
      <c r="V15" s="438"/>
      <c r="W15" s="439"/>
    </row>
    <row r="16" spans="1:23" s="20" customFormat="1" ht="51" customHeight="1" x14ac:dyDescent="0.35">
      <c r="A16" s="167"/>
      <c r="B16" s="178" t="s">
        <v>30</v>
      </c>
      <c r="C16" s="23"/>
      <c r="D16" s="21"/>
      <c r="I16" s="179" t="s">
        <v>36</v>
      </c>
      <c r="J16" s="434" t="s">
        <v>645</v>
      </c>
      <c r="K16" s="435"/>
      <c r="L16" s="435"/>
      <c r="M16" s="435"/>
      <c r="N16" s="435"/>
      <c r="O16" s="435"/>
      <c r="P16" s="435"/>
      <c r="Q16" s="435"/>
      <c r="R16" s="435"/>
      <c r="S16" s="435"/>
      <c r="T16" s="435"/>
      <c r="U16" s="435"/>
      <c r="V16" s="435"/>
      <c r="W16" s="436"/>
    </row>
    <row r="17" spans="1:23" s="20" customFormat="1" ht="51" customHeight="1" x14ac:dyDescent="0.35">
      <c r="A17" s="167"/>
      <c r="B17" s="179" t="s">
        <v>38</v>
      </c>
      <c r="C17" s="23"/>
      <c r="D17" s="21"/>
      <c r="I17" s="179" t="s">
        <v>37</v>
      </c>
      <c r="J17" s="434" t="s">
        <v>646</v>
      </c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5"/>
      <c r="V17" s="435"/>
      <c r="W17" s="436"/>
    </row>
    <row r="18" spans="1:23" s="20" customFormat="1" ht="51" customHeight="1" x14ac:dyDescent="0.35">
      <c r="A18" s="167"/>
      <c r="B18" s="179" t="s">
        <v>36</v>
      </c>
      <c r="C18" s="23"/>
      <c r="D18" s="21"/>
      <c r="I18" s="177" t="s">
        <v>31</v>
      </c>
      <c r="J18" s="437" t="s">
        <v>647</v>
      </c>
      <c r="K18" s="438"/>
      <c r="L18" s="438"/>
      <c r="M18" s="438"/>
      <c r="N18" s="438"/>
      <c r="O18" s="438"/>
      <c r="P18" s="438"/>
      <c r="Q18" s="438"/>
      <c r="R18" s="438"/>
      <c r="S18" s="438"/>
      <c r="T18" s="438"/>
      <c r="U18" s="438"/>
      <c r="V18" s="438"/>
      <c r="W18" s="439"/>
    </row>
    <row r="19" spans="1:23" s="20" customFormat="1" ht="51" customHeight="1" thickBot="1" x14ac:dyDescent="0.4">
      <c r="A19" s="167"/>
      <c r="B19" s="179" t="s">
        <v>37</v>
      </c>
      <c r="C19" s="23"/>
      <c r="D19" s="21"/>
      <c r="I19" s="180" t="s">
        <v>32</v>
      </c>
      <c r="J19" s="434" t="s">
        <v>648</v>
      </c>
      <c r="K19" s="435"/>
      <c r="L19" s="435"/>
      <c r="M19" s="435"/>
      <c r="N19" s="435"/>
      <c r="O19" s="435"/>
      <c r="P19" s="435"/>
      <c r="Q19" s="435"/>
      <c r="R19" s="435"/>
      <c r="S19" s="435"/>
      <c r="T19" s="435"/>
      <c r="U19" s="435"/>
      <c r="V19" s="435"/>
      <c r="W19" s="436"/>
    </row>
    <row r="20" spans="1:23" s="20" customFormat="1" ht="51" customHeight="1" x14ac:dyDescent="0.35">
      <c r="A20" s="167"/>
      <c r="B20" s="177" t="s">
        <v>31</v>
      </c>
      <c r="C20" s="24"/>
      <c r="D20" s="21"/>
    </row>
    <row r="21" spans="1:23" s="20" customFormat="1" ht="51" customHeight="1" thickBot="1" x14ac:dyDescent="0.4">
      <c r="A21" s="169"/>
      <c r="B21" s="180" t="s">
        <v>32</v>
      </c>
      <c r="C21" s="25"/>
      <c r="D21" s="21"/>
    </row>
    <row r="22" spans="1:23" s="20" customFormat="1" ht="29.25" customHeight="1" thickBot="1" x14ac:dyDescent="0.4">
      <c r="A22" s="429" t="s">
        <v>56</v>
      </c>
      <c r="B22" s="430"/>
      <c r="D22" s="21"/>
    </row>
    <row r="23" spans="1:23" s="17" customFormat="1" ht="29.25" customHeight="1" x14ac:dyDescent="0.3">
      <c r="A23" s="450"/>
      <c r="B23" s="451"/>
      <c r="D23" s="18"/>
    </row>
    <row r="24" spans="1:23" s="17" customFormat="1" ht="29.25" customHeight="1" x14ac:dyDescent="0.3">
      <c r="A24" s="452"/>
      <c r="B24" s="453"/>
      <c r="D24" s="18"/>
    </row>
    <row r="25" spans="1:23" s="17" customFormat="1" ht="29.25" customHeight="1" x14ac:dyDescent="0.3">
      <c r="A25" s="452"/>
      <c r="B25" s="453"/>
      <c r="D25" s="18"/>
    </row>
    <row r="26" spans="1:23" s="17" customFormat="1" ht="29.25" customHeight="1" x14ac:dyDescent="0.3">
      <c r="A26" s="452"/>
      <c r="B26" s="453"/>
      <c r="D26" s="18"/>
    </row>
    <row r="27" spans="1:23" s="17" customFormat="1" ht="29.25" customHeight="1" thickBot="1" x14ac:dyDescent="0.35">
      <c r="A27" s="446"/>
      <c r="B27" s="447"/>
      <c r="D27" s="18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14</vt:i4>
      </vt:variant>
    </vt:vector>
  </HeadingPairs>
  <TitlesOfParts>
    <vt:vector size="30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Refrigerators</vt:lpstr>
      <vt:lpstr>Walk Ins and Ice Makers</vt:lpstr>
      <vt:lpstr>Food Service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'Business Type'!Print_Area</vt:lpstr>
      <vt:lpstr>'Control Equipment'!Print_Area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2012-10-10T23:17:07Z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